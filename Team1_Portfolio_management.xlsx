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nagha Athreyas\OneDrive\Desktop\"/>
    </mc:Choice>
  </mc:AlternateContent>
  <xr:revisionPtr revIDLastSave="0" documentId="8_{3127276E-6DC1-4269-A482-567E826D6FDC}" xr6:coauthVersionLast="47" xr6:coauthVersionMax="47" xr10:uidLastSave="{00000000-0000-0000-0000-000000000000}"/>
  <bookViews>
    <workbookView xWindow="-110" yWindow="-110" windowWidth="19420" windowHeight="10300" activeTab="3" xr2:uid="{844A379B-1BEB-4D9A-B01D-ED226D3A58E4}"/>
  </bookViews>
  <sheets>
    <sheet name="Individual stocks" sheetId="6" r:id="rId1"/>
    <sheet name="Risk and Performance" sheetId="4" r:id="rId2"/>
    <sheet name="Return" sheetId="8" r:id="rId3"/>
    <sheet name="Beta" sheetId="5" r:id="rId4"/>
    <sheet name="Prices" sheetId="3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" i="5" l="1"/>
  <c r="D19" i="5"/>
  <c r="D18" i="5"/>
  <c r="C20" i="5"/>
  <c r="C19" i="5"/>
  <c r="C18" i="5"/>
  <c r="C13" i="5"/>
  <c r="K111" i="6"/>
  <c r="H14" i="8"/>
  <c r="I10" i="3"/>
  <c r="L8" i="3"/>
  <c r="H18" i="8" l="1"/>
  <c r="H17" i="8"/>
  <c r="H16" i="8"/>
  <c r="H15" i="8"/>
  <c r="H13" i="8"/>
  <c r="H9" i="8"/>
  <c r="H8" i="8"/>
  <c r="H10" i="8" s="1"/>
  <c r="H7" i="8"/>
  <c r="H6" i="8"/>
  <c r="H5" i="8"/>
  <c r="B44" i="8"/>
  <c r="E44" i="8"/>
  <c r="E45" i="8"/>
  <c r="E3" i="8"/>
  <c r="E4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D44" i="8"/>
  <c r="C45" i="8"/>
  <c r="C44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3" i="8"/>
  <c r="H95" i="6" l="1"/>
  <c r="W16" i="6" l="1"/>
  <c r="W15" i="6"/>
  <c r="W14" i="6"/>
  <c r="W13" i="6"/>
  <c r="W12" i="6"/>
  <c r="W11" i="6"/>
  <c r="W10" i="6"/>
  <c r="W9" i="6"/>
  <c r="W8" i="6"/>
  <c r="W7" i="6"/>
  <c r="W6" i="6"/>
  <c r="W5" i="6"/>
  <c r="W4" i="6"/>
  <c r="B10" i="4" l="1"/>
  <c r="H16" i="6"/>
  <c r="H15" i="6"/>
  <c r="H14" i="6"/>
  <c r="H13" i="6"/>
  <c r="H12" i="6"/>
  <c r="H11" i="6"/>
  <c r="H10" i="6"/>
  <c r="H9" i="6"/>
  <c r="H8" i="6"/>
  <c r="H7" i="6"/>
  <c r="H6" i="6"/>
  <c r="H5" i="6"/>
  <c r="H4" i="6"/>
  <c r="H33" i="6"/>
  <c r="H60" i="6"/>
  <c r="H59" i="6"/>
  <c r="H58" i="6"/>
  <c r="H57" i="6"/>
  <c r="H56" i="6"/>
  <c r="H55" i="6"/>
  <c r="H54" i="6"/>
  <c r="H53" i="6"/>
  <c r="H52" i="6"/>
  <c r="H51" i="6"/>
  <c r="K52" i="6" s="1"/>
  <c r="B6" i="4" s="1"/>
  <c r="H34" i="6"/>
  <c r="H38" i="6"/>
  <c r="H40" i="6"/>
  <c r="H45" i="6"/>
  <c r="H44" i="6"/>
  <c r="H43" i="6"/>
  <c r="H42" i="6"/>
  <c r="H41" i="6"/>
  <c r="H39" i="6"/>
  <c r="H37" i="6"/>
  <c r="H36" i="6"/>
  <c r="H35" i="6"/>
  <c r="H96" i="6"/>
  <c r="H97" i="6"/>
  <c r="H89" i="6"/>
  <c r="H88" i="6"/>
  <c r="H87" i="6"/>
  <c r="H86" i="6"/>
  <c r="H85" i="6"/>
  <c r="H84" i="6"/>
  <c r="H82" i="6"/>
  <c r="H81" i="6"/>
  <c r="H80" i="6"/>
  <c r="H79" i="6"/>
  <c r="H78" i="6"/>
  <c r="H77" i="6"/>
  <c r="H110" i="6"/>
  <c r="H109" i="6"/>
  <c r="H108" i="6"/>
  <c r="K109" i="6" s="1"/>
  <c r="H100" i="6"/>
  <c r="H99" i="6"/>
  <c r="H98" i="6"/>
  <c r="B14" i="3"/>
  <c r="B17" i="3"/>
  <c r="F9" i="3"/>
  <c r="K9" i="3"/>
  <c r="L9" i="3"/>
  <c r="H68" i="6"/>
  <c r="H83" i="6"/>
  <c r="H67" i="6"/>
  <c r="H66" i="6"/>
  <c r="H24" i="6"/>
  <c r="H23" i="6"/>
  <c r="H22" i="6"/>
  <c r="K23" i="6" s="1"/>
  <c r="B4" i="4" s="1"/>
  <c r="F3" i="3"/>
  <c r="L3" i="3"/>
  <c r="L4" i="3"/>
  <c r="L5" i="3"/>
  <c r="L6" i="3"/>
  <c r="L7" i="3"/>
  <c r="L2" i="3"/>
  <c r="K3" i="3"/>
  <c r="K4" i="3"/>
  <c r="K5" i="3"/>
  <c r="K6" i="3"/>
  <c r="K7" i="3"/>
  <c r="K8" i="3"/>
  <c r="K2" i="3"/>
  <c r="F4" i="3"/>
  <c r="F5" i="3"/>
  <c r="F6" i="3"/>
  <c r="F7" i="3"/>
  <c r="F8" i="3"/>
  <c r="F2" i="3"/>
  <c r="K96" i="6" l="1"/>
  <c r="B9" i="4" s="1"/>
  <c r="K5" i="6"/>
  <c r="B3" i="4" s="1"/>
  <c r="K34" i="6"/>
  <c r="B5" i="4" s="1"/>
  <c r="K67" i="6"/>
  <c r="B7" i="4" s="1"/>
  <c r="K78" i="6"/>
  <c r="B8" i="4" s="1"/>
  <c r="F10" i="3"/>
  <c r="K108" i="6"/>
  <c r="K110" i="6" s="1"/>
  <c r="C11" i="5" s="1"/>
  <c r="K93" i="6"/>
  <c r="K66" i="6"/>
  <c r="K68" i="6" s="1"/>
  <c r="K33" i="6"/>
  <c r="K35" i="6" s="1"/>
  <c r="C6" i="5" s="1"/>
  <c r="K2" i="6"/>
  <c r="K4" i="6"/>
  <c r="K6" i="6" s="1"/>
  <c r="K95" i="6"/>
  <c r="K97" i="6" s="1"/>
  <c r="C10" i="5" s="1"/>
  <c r="K77" i="6"/>
  <c r="K79" i="6" s="1"/>
  <c r="C9" i="5" s="1"/>
  <c r="K20" i="6"/>
  <c r="K22" i="6"/>
  <c r="K24" i="6" s="1"/>
  <c r="C5" i="5" s="1"/>
  <c r="K21" i="6"/>
  <c r="C4" i="4" s="1"/>
  <c r="K51" i="6"/>
  <c r="K53" i="6" s="1"/>
  <c r="C7" i="5" s="1"/>
  <c r="K94" i="6"/>
  <c r="C9" i="4" s="1"/>
  <c r="K3" i="6"/>
  <c r="C3" i="4" s="1"/>
  <c r="K49" i="6"/>
  <c r="K31" i="6"/>
  <c r="B18" i="3"/>
  <c r="B20" i="3" s="1"/>
  <c r="B19" i="3"/>
  <c r="K107" i="6"/>
  <c r="C10" i="4" s="1"/>
  <c r="K106" i="6"/>
  <c r="K76" i="6"/>
  <c r="C8" i="4" s="1"/>
  <c r="K75" i="6"/>
  <c r="K65" i="6"/>
  <c r="C7" i="4" s="1"/>
  <c r="K64" i="6"/>
  <c r="K32" i="6"/>
  <c r="C5" i="4" s="1"/>
  <c r="K50" i="6"/>
  <c r="C6" i="4" s="1"/>
  <c r="C4" i="5" l="1"/>
  <c r="D3" i="4"/>
  <c r="K7" i="6"/>
  <c r="E3" i="4" s="1"/>
  <c r="K69" i="6"/>
  <c r="C8" i="5"/>
  <c r="K38" i="6"/>
  <c r="G5" i="4" s="1"/>
  <c r="K82" i="6"/>
  <c r="G8" i="4" s="1"/>
  <c r="K56" i="6"/>
  <c r="G6" i="4" s="1"/>
  <c r="K71" i="6"/>
  <c r="G7" i="4" s="1"/>
  <c r="K9" i="6"/>
  <c r="G3" i="4" s="1"/>
  <c r="K8" i="6"/>
  <c r="F3" i="4" s="1"/>
  <c r="K113" i="6"/>
  <c r="G10" i="4" s="1"/>
  <c r="K27" i="6"/>
  <c r="G4" i="4" s="1"/>
  <c r="K100" i="6"/>
  <c r="G9" i="4" s="1"/>
  <c r="D5" i="4"/>
  <c r="C12" i="5" l="1"/>
  <c r="K37" i="6"/>
  <c r="F5" i="4" s="1"/>
  <c r="K36" i="6"/>
  <c r="E5" i="4" s="1"/>
  <c r="K25" i="6"/>
  <c r="E4" i="4" s="1"/>
  <c r="D8" i="4" l="1"/>
  <c r="K80" i="6"/>
  <c r="E8" i="4" s="1"/>
  <c r="K81" i="6"/>
  <c r="F8" i="4" s="1"/>
  <c r="D7" i="4"/>
  <c r="E7" i="4"/>
  <c r="K70" i="6"/>
  <c r="F7" i="4" s="1"/>
  <c r="D6" i="4"/>
  <c r="K55" i="6"/>
  <c r="F6" i="4" s="1"/>
  <c r="K54" i="6"/>
  <c r="E6" i="4" s="1"/>
  <c r="D4" i="4"/>
  <c r="K26" i="6"/>
  <c r="F4" i="4" s="1"/>
  <c r="D10" i="4" l="1"/>
  <c r="K112" i="6"/>
  <c r="F10" i="4" s="1"/>
  <c r="E10" i="4"/>
  <c r="D9" i="4"/>
  <c r="K98" i="6"/>
  <c r="E9" i="4" s="1"/>
  <c r="K99" i="6"/>
  <c r="F9" i="4" s="1"/>
</calcChain>
</file>

<file path=xl/sharedStrings.xml><?xml version="1.0" encoding="utf-8"?>
<sst xmlns="http://schemas.openxmlformats.org/spreadsheetml/2006/main" count="280" uniqueCount="110">
  <si>
    <t>AAPL</t>
  </si>
  <si>
    <t xml:space="preserve">Date </t>
  </si>
  <si>
    <t>Open</t>
  </si>
  <si>
    <t>High</t>
  </si>
  <si>
    <t>Low</t>
  </si>
  <si>
    <t>Close</t>
  </si>
  <si>
    <t>Adj Close</t>
  </si>
  <si>
    <t xml:space="preserve">Volume </t>
  </si>
  <si>
    <t>Return</t>
  </si>
  <si>
    <t>Total</t>
  </si>
  <si>
    <t> </t>
  </si>
  <si>
    <t xml:space="preserve">Standard Deviation </t>
  </si>
  <si>
    <t>Covariance</t>
  </si>
  <si>
    <t>Variance</t>
  </si>
  <si>
    <t>Beta</t>
  </si>
  <si>
    <t>Jensen Alpha</t>
  </si>
  <si>
    <t>Treynor ratio</t>
  </si>
  <si>
    <t xml:space="preserve">Sharpe ratio </t>
  </si>
  <si>
    <t>AMZ</t>
  </si>
  <si>
    <t>AMZN</t>
  </si>
  <si>
    <t xml:space="preserve">Return </t>
  </si>
  <si>
    <t>IWM</t>
  </si>
  <si>
    <t>KO</t>
  </si>
  <si>
    <t>LLY</t>
  </si>
  <si>
    <t>LMT</t>
  </si>
  <si>
    <t>MSFT</t>
  </si>
  <si>
    <t>VOO</t>
  </si>
  <si>
    <t>RISK</t>
  </si>
  <si>
    <t>PERFORMANCE</t>
  </si>
  <si>
    <t>Standard Deviation</t>
  </si>
  <si>
    <t xml:space="preserve">Treynor ratio </t>
  </si>
  <si>
    <t>Weight</t>
  </si>
  <si>
    <t>Date</t>
  </si>
  <si>
    <t>Portfolio Value</t>
  </si>
  <si>
    <t xml:space="preserve">Daily portfolio return </t>
  </si>
  <si>
    <t>Market value</t>
  </si>
  <si>
    <t>Total return</t>
  </si>
  <si>
    <t>Mean daily return</t>
  </si>
  <si>
    <t>Portfolio</t>
  </si>
  <si>
    <t>Weighted-Average Beta</t>
  </si>
  <si>
    <t>Stocks Beta</t>
  </si>
  <si>
    <t xml:space="preserve">Portfolio Beta </t>
  </si>
  <si>
    <t>Performance measure</t>
  </si>
  <si>
    <t>Market</t>
  </si>
  <si>
    <t>Sharpe Ratio</t>
  </si>
  <si>
    <t>Treynor Ratio</t>
  </si>
  <si>
    <t>Symbol</t>
  </si>
  <si>
    <t>Description</t>
  </si>
  <si>
    <t>Quantity</t>
  </si>
  <si>
    <t>Last Price</t>
  </si>
  <si>
    <t>Price Paid</t>
  </si>
  <si>
    <t>Total price</t>
  </si>
  <si>
    <t>Day Change</t>
  </si>
  <si>
    <t>Profit/Loss</t>
  </si>
  <si>
    <t>Market Value</t>
  </si>
  <si>
    <t>Profit/Loss Percentage</t>
  </si>
  <si>
    <t xml:space="preserve">Beginning proportion </t>
  </si>
  <si>
    <t xml:space="preserve">Closing proportion </t>
  </si>
  <si>
    <r>
      <t> </t>
    </r>
    <r>
      <rPr>
        <b/>
        <sz val="12"/>
        <color rgb="FF17191F"/>
        <rFont val="Times New Roman"/>
        <family val="1"/>
      </rPr>
      <t>AAPL</t>
    </r>
  </si>
  <si>
    <t>Apple Inc.</t>
  </si>
  <si>
    <r>
      <t> </t>
    </r>
    <r>
      <rPr>
        <b/>
        <sz val="12"/>
        <color rgb="FF17191F"/>
        <rFont val="Times New Roman"/>
        <family val="1"/>
      </rPr>
      <t>AMZN</t>
    </r>
  </si>
  <si>
    <t>Amazon.com, Inc</t>
  </si>
  <si>
    <r>
      <t> </t>
    </r>
    <r>
      <rPr>
        <b/>
        <sz val="12"/>
        <color rgb="FF17191F"/>
        <rFont val="Times New Roman"/>
        <family val="1"/>
      </rPr>
      <t>IWM</t>
    </r>
  </si>
  <si>
    <t>iShares Russell 2000 ETF</t>
  </si>
  <si>
    <r>
      <t> </t>
    </r>
    <r>
      <rPr>
        <b/>
        <sz val="12"/>
        <color rgb="FF17191F"/>
        <rFont val="Times New Roman"/>
        <family val="1"/>
      </rPr>
      <t>KO</t>
    </r>
  </si>
  <si>
    <t>The Coca-Cola Company</t>
  </si>
  <si>
    <r>
      <t> </t>
    </r>
    <r>
      <rPr>
        <b/>
        <sz val="12"/>
        <color rgb="FF17191F"/>
        <rFont val="Times New Roman"/>
        <family val="1"/>
      </rPr>
      <t>LLY</t>
    </r>
  </si>
  <si>
    <t>Eli Lilly and Company</t>
  </si>
  <si>
    <r>
      <t> </t>
    </r>
    <r>
      <rPr>
        <b/>
        <sz val="12"/>
        <color rgb="FF17191F"/>
        <rFont val="Times New Roman"/>
        <family val="1"/>
      </rPr>
      <t>LMT</t>
    </r>
  </si>
  <si>
    <t>Lockheed Martin Corporation</t>
  </si>
  <si>
    <r>
      <t> </t>
    </r>
    <r>
      <rPr>
        <b/>
        <sz val="12"/>
        <color rgb="FF17191F"/>
        <rFont val="Times New Roman"/>
        <family val="1"/>
      </rPr>
      <t>MSFT</t>
    </r>
  </si>
  <si>
    <t>Microsoft Corporation</t>
  </si>
  <si>
    <r>
      <t> </t>
    </r>
    <r>
      <rPr>
        <b/>
        <sz val="12"/>
        <color rgb="FF17191F"/>
        <rFont val="Times New Roman"/>
        <family val="1"/>
      </rPr>
      <t>VOO</t>
    </r>
  </si>
  <si>
    <t>Vanguard S&amp;P 500 ETF</t>
  </si>
  <si>
    <t>Portoflio value</t>
  </si>
  <si>
    <t>Beginning value</t>
  </si>
  <si>
    <t>Total return (%)</t>
  </si>
  <si>
    <t>Total Market Value</t>
  </si>
  <si>
    <t xml:space="preserve">Total Cost Basis </t>
  </si>
  <si>
    <t>Total Unrealized P/L</t>
  </si>
  <si>
    <t>S&amp;P</t>
  </si>
  <si>
    <t>Average Total</t>
  </si>
  <si>
    <t>Daily market return</t>
  </si>
  <si>
    <t>9/25/2025</t>
  </si>
  <si>
    <t>9/26/2025</t>
  </si>
  <si>
    <t>9/29/2025</t>
  </si>
  <si>
    <t>9/30/2025</t>
  </si>
  <si>
    <t>10/13/2025</t>
  </si>
  <si>
    <t>10/14/2025</t>
  </si>
  <si>
    <t>10/15/2025</t>
  </si>
  <si>
    <t>10/16/2025</t>
  </si>
  <si>
    <t>10/17/2025</t>
  </si>
  <si>
    <t>10/20/2025</t>
  </si>
  <si>
    <t>10/21/2025</t>
  </si>
  <si>
    <t>10/22/2025</t>
  </si>
  <si>
    <t>10/23/2025</t>
  </si>
  <si>
    <t>10/24/2025</t>
  </si>
  <si>
    <t>10/27/2025</t>
  </si>
  <si>
    <t>10/28/2025</t>
  </si>
  <si>
    <t>10/29/2025</t>
  </si>
  <si>
    <t>10/30/2025</t>
  </si>
  <si>
    <t>10/31/2025</t>
  </si>
  <si>
    <t>11/13/2025</t>
  </si>
  <si>
    <t>11/14/2025</t>
  </si>
  <si>
    <t>11/17/2025</t>
  </si>
  <si>
    <t>11/18/2025</t>
  </si>
  <si>
    <t>11/19/2025</t>
  </si>
  <si>
    <t>11/20/2025</t>
  </si>
  <si>
    <t>11/21/2025</t>
  </si>
  <si>
    <t xml:space="preserve">Portfolio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</si>
</sst>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&quot;$&quot;#,##0.00_);[Red]\(&quot;$&quot;#,##0.00\)"/>
    <numFmt numFmtId="165" formatCode="0.000%"/>
    <numFmt numFmtId="166" formatCode="0.000"/>
    <numFmt numFmtId="167" formatCode="&quot;$&quot;#,##0.00"/>
    <numFmt numFmtId="168" formatCode="0.00000000"/>
    <numFmt numFmtId="169" formatCode="0.0000000000000"/>
    <numFmt numFmtId="170" formatCode="0.000000"/>
    <numFmt numFmtId="171" formatCode="0.000E+00"/>
    <numFmt numFmtId="172" formatCode="0.0000"/>
  </numFmts>
  <fonts count="30">
    <font>
      <sz val="11"/>
      <color theme="1"/>
      <name val="Aptos Narrow"/>
      <family val="2"/>
      <scheme val="minor"/>
    </font>
    <font>
      <b/>
      <sz val="12"/>
      <color rgb="FF000000"/>
      <name val="TimesNewRomanPSMT"/>
    </font>
    <font>
      <sz val="12"/>
      <color rgb="FF000000"/>
      <name val="TimesNewRomanPSMT"/>
      <family val="2"/>
    </font>
    <font>
      <b/>
      <sz val="12"/>
      <color rgb="FF000000"/>
      <name val="Times New Roman"/>
      <family val="1"/>
    </font>
    <font>
      <sz val="11"/>
      <color theme="1"/>
      <name val="Times New Roman"/>
      <family val="1"/>
    </font>
    <font>
      <sz val="12"/>
      <color rgb="FF000000"/>
      <name val="Times New Roman"/>
      <family val="1"/>
    </font>
    <font>
      <sz val="12"/>
      <color rgb="FF232A31"/>
      <name val="Times New Roman"/>
      <family val="1"/>
    </font>
    <font>
      <sz val="12"/>
      <name val="Times New Roman"/>
      <family val="1"/>
    </font>
    <font>
      <sz val="12"/>
      <color rgb="FF232A31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2"/>
      <color rgb="FF17191F"/>
      <name val="Times New Roman"/>
      <family val="1"/>
    </font>
    <font>
      <sz val="12"/>
      <color rgb="FF17191F"/>
      <name val="Times New Roman"/>
      <family val="1"/>
    </font>
    <font>
      <sz val="12"/>
      <name val="Times New Roman"/>
      <family val="1"/>
    </font>
    <font>
      <sz val="12"/>
      <color theme="1"/>
      <name val="Times New Roman"/>
      <family val="1"/>
    </font>
    <font>
      <b/>
      <sz val="12"/>
      <color rgb="FF000000"/>
      <name val="TimesNewRomanPSMT"/>
      <family val="2"/>
    </font>
    <font>
      <b/>
      <sz val="11"/>
      <color theme="1"/>
      <name val="Aptos Narrow"/>
      <family val="2"/>
      <scheme val="minor"/>
    </font>
    <font>
      <b/>
      <sz val="12"/>
      <color rgb="FFFF0000"/>
      <name val="Times New Roman"/>
      <family val="1"/>
    </font>
    <font>
      <sz val="11"/>
      <color rgb="FFFF0000"/>
      <name val="Aptos Narrow"/>
      <family val="2"/>
      <scheme val="minor"/>
    </font>
    <font>
      <sz val="12"/>
      <color rgb="FFFF0000"/>
      <name val="Times New Roman"/>
      <family val="1"/>
    </font>
    <font>
      <b/>
      <u/>
      <sz val="11"/>
      <color theme="1"/>
      <name val="Aptos Narrow"/>
      <family val="2"/>
      <scheme val="minor"/>
    </font>
    <font>
      <sz val="11"/>
      <color rgb="FF232A31"/>
      <name val="GT America"/>
      <charset val="1"/>
    </font>
    <font>
      <sz val="12"/>
      <color rgb="FF000000"/>
      <name val="TimesNewRomanPSMT"/>
    </font>
    <font>
      <sz val="12"/>
      <color theme="1"/>
      <name val="Helvetica"/>
      <family val="2"/>
    </font>
    <font>
      <sz val="11"/>
      <color rgb="FF000000"/>
      <name val="Times New Roman"/>
      <family val="1"/>
    </font>
    <font>
      <sz val="11"/>
      <color theme="1"/>
      <name val="Aptos Narrow"/>
      <family val="2"/>
      <scheme val="minor"/>
    </font>
    <font>
      <b/>
      <sz val="12"/>
      <color theme="1"/>
      <name val="TimesNewRomanPSMT"/>
      <family val="2"/>
    </font>
    <font>
      <b/>
      <sz val="11"/>
      <color rgb="FF000000"/>
      <name val="Times New Roman"/>
      <family val="1"/>
    </font>
    <font>
      <b/>
      <sz val="12"/>
      <color theme="1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FBE2D5"/>
        <bgColor rgb="FF000000"/>
      </patternFill>
    </fill>
    <fill>
      <patternFill patternType="solid">
        <fgColor rgb="FFEB9594"/>
        <bgColor rgb="FF000000"/>
      </patternFill>
    </fill>
    <fill>
      <patternFill patternType="solid">
        <fgColor rgb="FFC1F0C8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AE9F8"/>
        <bgColor rgb="FF000000"/>
      </patternFill>
    </fill>
  </fills>
  <borders count="5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double">
        <color rgb="FF000000"/>
      </bottom>
      <diagonal/>
    </border>
    <border>
      <left style="thin">
        <color indexed="64"/>
      </left>
      <right style="thin">
        <color indexed="64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</borders>
  <cellStyleXfs count="2">
    <xf numFmtId="0" fontId="0" fillId="0" borderId="0"/>
    <xf numFmtId="9" fontId="26" fillId="0" borderId="0" applyFont="0" applyFill="0" applyBorder="0" applyAlignment="0" applyProtection="0"/>
  </cellStyleXfs>
  <cellXfs count="241">
    <xf numFmtId="0" fontId="0" fillId="0" borderId="0" xfId="0"/>
    <xf numFmtId="0" fontId="1" fillId="0" borderId="5" xfId="0" applyFont="1" applyBorder="1"/>
    <xf numFmtId="0" fontId="2" fillId="0" borderId="7" xfId="0" applyFont="1" applyBorder="1"/>
    <xf numFmtId="10" fontId="2" fillId="5" borderId="7" xfId="0" applyNumberFormat="1" applyFont="1" applyFill="1" applyBorder="1"/>
    <xf numFmtId="10" fontId="2" fillId="6" borderId="7" xfId="0" applyNumberFormat="1" applyFont="1" applyFill="1" applyBorder="1"/>
    <xf numFmtId="10" fontId="0" fillId="0" borderId="0" xfId="0" applyNumberFormat="1"/>
    <xf numFmtId="0" fontId="3" fillId="0" borderId="4" xfId="0" applyFont="1" applyBorder="1"/>
    <xf numFmtId="0" fontId="3" fillId="0" borderId="5" xfId="0" applyFont="1" applyBorder="1"/>
    <xf numFmtId="0" fontId="5" fillId="0" borderId="9" xfId="0" applyFont="1" applyBorder="1"/>
    <xf numFmtId="15" fontId="6" fillId="0" borderId="6" xfId="0" applyNumberFormat="1" applyFont="1" applyBorder="1"/>
    <xf numFmtId="0" fontId="6" fillId="0" borderId="7" xfId="0" applyFont="1" applyBorder="1"/>
    <xf numFmtId="3" fontId="6" fillId="0" borderId="7" xfId="0" applyNumberFormat="1" applyFont="1" applyBorder="1"/>
    <xf numFmtId="0" fontId="5" fillId="0" borderId="7" xfId="0" applyFont="1" applyBorder="1"/>
    <xf numFmtId="0" fontId="5" fillId="0" borderId="6" xfId="0" applyFont="1" applyBorder="1"/>
    <xf numFmtId="10" fontId="5" fillId="5" borderId="7" xfId="0" applyNumberFormat="1" applyFont="1" applyFill="1" applyBorder="1"/>
    <xf numFmtId="10" fontId="5" fillId="6" borderId="7" xfId="0" applyNumberFormat="1" applyFont="1" applyFill="1" applyBorder="1"/>
    <xf numFmtId="0" fontId="8" fillId="0" borderId="7" xfId="0" applyFont="1" applyBorder="1"/>
    <xf numFmtId="15" fontId="8" fillId="0" borderId="7" xfId="0" applyNumberFormat="1" applyFont="1" applyBorder="1"/>
    <xf numFmtId="3" fontId="8" fillId="0" borderId="7" xfId="0" applyNumberFormat="1" applyFont="1" applyBorder="1"/>
    <xf numFmtId="0" fontId="9" fillId="0" borderId="7" xfId="0" applyFont="1" applyBorder="1"/>
    <xf numFmtId="10" fontId="9" fillId="5" borderId="7" xfId="0" applyNumberFormat="1" applyFont="1" applyFill="1" applyBorder="1"/>
    <xf numFmtId="10" fontId="9" fillId="6" borderId="7" xfId="0" applyNumberFormat="1" applyFont="1" applyFill="1" applyBorder="1"/>
    <xf numFmtId="10" fontId="2" fillId="5" borderId="10" xfId="0" applyNumberFormat="1" applyFont="1" applyFill="1" applyBorder="1"/>
    <xf numFmtId="4" fontId="8" fillId="0" borderId="7" xfId="0" applyNumberFormat="1" applyFont="1" applyBorder="1"/>
    <xf numFmtId="10" fontId="9" fillId="5" borderId="10" xfId="0" applyNumberFormat="1" applyFont="1" applyFill="1" applyBorder="1"/>
    <xf numFmtId="10" fontId="2" fillId="6" borderId="10" xfId="0" applyNumberFormat="1" applyFont="1" applyFill="1" applyBorder="1"/>
    <xf numFmtId="15" fontId="8" fillId="0" borderId="10" xfId="0" applyNumberFormat="1" applyFont="1" applyBorder="1"/>
    <xf numFmtId="0" fontId="8" fillId="0" borderId="10" xfId="0" applyFont="1" applyBorder="1"/>
    <xf numFmtId="3" fontId="8" fillId="0" borderId="10" xfId="0" applyNumberFormat="1" applyFont="1" applyBorder="1"/>
    <xf numFmtId="166" fontId="4" fillId="0" borderId="0" xfId="0" applyNumberFormat="1" applyFont="1"/>
    <xf numFmtId="165" fontId="4" fillId="0" borderId="14" xfId="0" applyNumberFormat="1" applyFont="1" applyBorder="1"/>
    <xf numFmtId="166" fontId="4" fillId="0" borderId="14" xfId="0" applyNumberFormat="1" applyFont="1" applyBorder="1"/>
    <xf numFmtId="0" fontId="0" fillId="0" borderId="15" xfId="0" applyBorder="1"/>
    <xf numFmtId="0" fontId="3" fillId="0" borderId="5" xfId="0" applyFont="1" applyBorder="1" applyAlignment="1">
      <alignment horizontal="center"/>
    </xf>
    <xf numFmtId="0" fontId="10" fillId="0" borderId="16" xfId="0" applyFont="1" applyBorder="1"/>
    <xf numFmtId="0" fontId="10" fillId="0" borderId="17" xfId="0" applyFont="1" applyBorder="1"/>
    <xf numFmtId="0" fontId="13" fillId="0" borderId="6" xfId="0" applyFont="1" applyBorder="1"/>
    <xf numFmtId="0" fontId="13" fillId="0" borderId="7" xfId="0" applyFont="1" applyBorder="1"/>
    <xf numFmtId="164" fontId="13" fillId="0" borderId="7" xfId="0" applyNumberFormat="1" applyFont="1" applyBorder="1"/>
    <xf numFmtId="164" fontId="9" fillId="0" borderId="7" xfId="0" applyNumberFormat="1" applyFont="1" applyBorder="1"/>
    <xf numFmtId="164" fontId="14" fillId="4" borderId="7" xfId="0" applyNumberFormat="1" applyFont="1" applyFill="1" applyBorder="1"/>
    <xf numFmtId="10" fontId="14" fillId="4" borderId="7" xfId="0" applyNumberFormat="1" applyFont="1" applyFill="1" applyBorder="1"/>
    <xf numFmtId="10" fontId="9" fillId="0" borderId="7" xfId="0" applyNumberFormat="1" applyFont="1" applyBorder="1"/>
    <xf numFmtId="4" fontId="13" fillId="0" borderId="7" xfId="0" applyNumberFormat="1" applyFont="1" applyBorder="1"/>
    <xf numFmtId="10" fontId="14" fillId="3" borderId="7" xfId="0" applyNumberFormat="1" applyFont="1" applyFill="1" applyBorder="1"/>
    <xf numFmtId="164" fontId="9" fillId="4" borderId="7" xfId="0" applyNumberFormat="1" applyFont="1" applyFill="1" applyBorder="1"/>
    <xf numFmtId="167" fontId="9" fillId="3" borderId="7" xfId="0" applyNumberFormat="1" applyFont="1" applyFill="1" applyBorder="1"/>
    <xf numFmtId="167" fontId="9" fillId="4" borderId="7" xfId="0" applyNumberFormat="1" applyFont="1" applyFill="1" applyBorder="1"/>
    <xf numFmtId="0" fontId="15" fillId="0" borderId="0" xfId="0" applyFont="1"/>
    <xf numFmtId="0" fontId="2" fillId="0" borderId="0" xfId="0" applyFont="1"/>
    <xf numFmtId="0" fontId="2" fillId="0" borderId="5" xfId="0" applyFont="1" applyBorder="1" applyAlignment="1">
      <alignment horizontal="center"/>
    </xf>
    <xf numFmtId="165" fontId="15" fillId="0" borderId="0" xfId="0" applyNumberFormat="1" applyFont="1"/>
    <xf numFmtId="10" fontId="2" fillId="0" borderId="6" xfId="0" applyNumberFormat="1" applyFont="1" applyBorder="1"/>
    <xf numFmtId="166" fontId="15" fillId="0" borderId="14" xfId="0" applyNumberFormat="1" applyFont="1" applyBorder="1"/>
    <xf numFmtId="0" fontId="3" fillId="0" borderId="23" xfId="0" applyFont="1" applyBorder="1"/>
    <xf numFmtId="0" fontId="3" fillId="0" borderId="24" xfId="0" applyFont="1" applyBorder="1"/>
    <xf numFmtId="0" fontId="1" fillId="0" borderId="11" xfId="0" applyFont="1" applyBorder="1"/>
    <xf numFmtId="0" fontId="1" fillId="0" borderId="15" xfId="0" applyFont="1" applyBorder="1"/>
    <xf numFmtId="166" fontId="2" fillId="0" borderId="15" xfId="0" applyNumberFormat="1" applyFont="1" applyBorder="1"/>
    <xf numFmtId="0" fontId="1" fillId="0" borderId="31" xfId="0" applyFont="1" applyBorder="1"/>
    <xf numFmtId="166" fontId="4" fillId="0" borderId="32" xfId="0" applyNumberFormat="1" applyFont="1" applyBorder="1"/>
    <xf numFmtId="0" fontId="2" fillId="0" borderId="12" xfId="0" applyFont="1" applyBorder="1"/>
    <xf numFmtId="0" fontId="10" fillId="0" borderId="0" xfId="0" applyFont="1"/>
    <xf numFmtId="0" fontId="13" fillId="0" borderId="0" xfId="0" applyFont="1"/>
    <xf numFmtId="4" fontId="13" fillId="0" borderId="0" xfId="0" applyNumberFormat="1" applyFont="1"/>
    <xf numFmtId="0" fontId="18" fillId="0" borderId="0" xfId="0" applyFont="1"/>
    <xf numFmtId="0" fontId="19" fillId="0" borderId="0" xfId="0" applyFont="1"/>
    <xf numFmtId="164" fontId="20" fillId="0" borderId="0" xfId="0" applyNumberFormat="1" applyFont="1"/>
    <xf numFmtId="10" fontId="20" fillId="0" borderId="0" xfId="0" applyNumberFormat="1" applyFont="1"/>
    <xf numFmtId="167" fontId="20" fillId="0" borderId="0" xfId="0" applyNumberFormat="1" applyFont="1"/>
    <xf numFmtId="164" fontId="4" fillId="0" borderId="34" xfId="0" applyNumberFormat="1" applyFont="1" applyBorder="1"/>
    <xf numFmtId="164" fontId="4" fillId="0" borderId="33" xfId="0" applyNumberFormat="1" applyFont="1" applyBorder="1"/>
    <xf numFmtId="0" fontId="11" fillId="0" borderId="35" xfId="0" applyFont="1" applyBorder="1"/>
    <xf numFmtId="0" fontId="11" fillId="0" borderId="15" xfId="0" applyFont="1" applyBorder="1"/>
    <xf numFmtId="0" fontId="11" fillId="7" borderId="30" xfId="0" applyFont="1" applyFill="1" applyBorder="1"/>
    <xf numFmtId="164" fontId="9" fillId="0" borderId="36" xfId="0" applyNumberFormat="1" applyFont="1" applyBorder="1"/>
    <xf numFmtId="0" fontId="11" fillId="0" borderId="37" xfId="0" applyFont="1" applyBorder="1"/>
    <xf numFmtId="164" fontId="4" fillId="0" borderId="38" xfId="0" applyNumberFormat="1" applyFont="1" applyBorder="1"/>
    <xf numFmtId="0" fontId="12" fillId="0" borderId="39" xfId="0" applyFont="1" applyBorder="1"/>
    <xf numFmtId="0" fontId="12" fillId="0" borderId="38" xfId="0" applyFont="1" applyBorder="1"/>
    <xf numFmtId="0" fontId="4" fillId="0" borderId="13" xfId="0" applyFont="1" applyBorder="1"/>
    <xf numFmtId="9" fontId="4" fillId="0" borderId="13" xfId="0" applyNumberFormat="1" applyFont="1" applyBorder="1"/>
    <xf numFmtId="0" fontId="3" fillId="0" borderId="40" xfId="0" applyFont="1" applyBorder="1"/>
    <xf numFmtId="10" fontId="2" fillId="0" borderId="41" xfId="0" applyNumberFormat="1" applyFont="1" applyBorder="1"/>
    <xf numFmtId="0" fontId="11" fillId="0" borderId="33" xfId="0" applyFont="1" applyBorder="1"/>
    <xf numFmtId="166" fontId="11" fillId="7" borderId="42" xfId="0" applyNumberFormat="1" applyFont="1" applyFill="1" applyBorder="1"/>
    <xf numFmtId="0" fontId="11" fillId="7" borderId="42" xfId="0" applyFont="1" applyFill="1" applyBorder="1"/>
    <xf numFmtId="0" fontId="5" fillId="0" borderId="12" xfId="0" applyFont="1" applyBorder="1"/>
    <xf numFmtId="0" fontId="21" fillId="0" borderId="0" xfId="0" applyFont="1"/>
    <xf numFmtId="0" fontId="16" fillId="0" borderId="8" xfId="0" applyFont="1" applyBorder="1"/>
    <xf numFmtId="0" fontId="16" fillId="0" borderId="5" xfId="0" applyFont="1" applyBorder="1"/>
    <xf numFmtId="0" fontId="5" fillId="0" borderId="0" xfId="0" applyFont="1"/>
    <xf numFmtId="165" fontId="4" fillId="0" borderId="0" xfId="0" applyNumberFormat="1" applyFont="1"/>
    <xf numFmtId="0" fontId="7" fillId="0" borderId="0" xfId="0" applyFont="1"/>
    <xf numFmtId="0" fontId="1" fillId="0" borderId="0" xfId="0" applyFont="1"/>
    <xf numFmtId="0" fontId="15" fillId="0" borderId="33" xfId="0" applyFont="1" applyBorder="1"/>
    <xf numFmtId="0" fontId="3" fillId="0" borderId="0" xfId="0" applyFont="1"/>
    <xf numFmtId="0" fontId="11" fillId="0" borderId="0" xfId="0" applyFont="1"/>
    <xf numFmtId="0" fontId="4" fillId="0" borderId="0" xfId="0" applyFont="1"/>
    <xf numFmtId="15" fontId="6" fillId="0" borderId="12" xfId="0" applyNumberFormat="1" applyFont="1" applyBorder="1"/>
    <xf numFmtId="0" fontId="6" fillId="0" borderId="10" xfId="0" applyFont="1" applyBorder="1"/>
    <xf numFmtId="3" fontId="6" fillId="0" borderId="10" xfId="0" applyNumberFormat="1" applyFont="1" applyBorder="1"/>
    <xf numFmtId="10" fontId="5" fillId="5" borderId="10" xfId="0" applyNumberFormat="1" applyFont="1" applyFill="1" applyBorder="1"/>
    <xf numFmtId="15" fontId="8" fillId="0" borderId="0" xfId="0" applyNumberFormat="1" applyFont="1"/>
    <xf numFmtId="0" fontId="8" fillId="0" borderId="0" xfId="0" applyFont="1"/>
    <xf numFmtId="3" fontId="8" fillId="0" borderId="0" xfId="0" applyNumberFormat="1" applyFont="1"/>
    <xf numFmtId="10" fontId="9" fillId="0" borderId="0" xfId="0" applyNumberFormat="1" applyFont="1"/>
    <xf numFmtId="15" fontId="6" fillId="0" borderId="7" xfId="0" applyNumberFormat="1" applyFont="1" applyBorder="1"/>
    <xf numFmtId="15" fontId="6" fillId="0" borderId="10" xfId="0" applyNumberFormat="1" applyFont="1" applyBorder="1"/>
    <xf numFmtId="4" fontId="8" fillId="0" borderId="10" xfId="0" applyNumberFormat="1" applyFont="1" applyBorder="1"/>
    <xf numFmtId="168" fontId="4" fillId="0" borderId="14" xfId="0" applyNumberFormat="1" applyFont="1" applyBorder="1"/>
    <xf numFmtId="0" fontId="1" fillId="0" borderId="7" xfId="0" applyFont="1" applyBorder="1"/>
    <xf numFmtId="15" fontId="22" fillId="0" borderId="0" xfId="0" applyNumberFormat="1" applyFont="1"/>
    <xf numFmtId="0" fontId="22" fillId="0" borderId="0" xfId="0" applyFont="1"/>
    <xf numFmtId="3" fontId="22" fillId="0" borderId="0" xfId="0" applyNumberFormat="1" applyFont="1"/>
    <xf numFmtId="15" fontId="22" fillId="0" borderId="14" xfId="0" applyNumberFormat="1" applyFont="1" applyBorder="1"/>
    <xf numFmtId="15" fontId="8" fillId="0" borderId="14" xfId="0" applyNumberFormat="1" applyFont="1" applyBorder="1"/>
    <xf numFmtId="0" fontId="22" fillId="0" borderId="14" xfId="0" applyFont="1" applyBorder="1"/>
    <xf numFmtId="0" fontId="8" fillId="0" borderId="14" xfId="0" applyFont="1" applyBorder="1"/>
    <xf numFmtId="3" fontId="22" fillId="0" borderId="14" xfId="0" applyNumberFormat="1" applyFont="1" applyBorder="1"/>
    <xf numFmtId="3" fontId="8" fillId="0" borderId="14" xfId="0" applyNumberFormat="1" applyFont="1" applyBorder="1"/>
    <xf numFmtId="165" fontId="23" fillId="5" borderId="7" xfId="0" applyNumberFormat="1" applyFont="1" applyFill="1" applyBorder="1"/>
    <xf numFmtId="0" fontId="13" fillId="0" borderId="12" xfId="0" applyFont="1" applyBorder="1"/>
    <xf numFmtId="0" fontId="9" fillId="0" borderId="10" xfId="0" applyFont="1" applyBorder="1"/>
    <xf numFmtId="4" fontId="13" fillId="0" borderId="10" xfId="0" applyNumberFormat="1" applyFont="1" applyBorder="1"/>
    <xf numFmtId="164" fontId="13" fillId="0" borderId="10" xfId="0" applyNumberFormat="1" applyFont="1" applyBorder="1"/>
    <xf numFmtId="164" fontId="9" fillId="0" borderId="10" xfId="0" applyNumberFormat="1" applyFont="1" applyBorder="1"/>
    <xf numFmtId="164" fontId="9" fillId="4" borderId="10" xfId="0" applyNumberFormat="1" applyFont="1" applyFill="1" applyBorder="1"/>
    <xf numFmtId="167" fontId="9" fillId="4" borderId="10" xfId="0" applyNumberFormat="1" applyFont="1" applyFill="1" applyBorder="1"/>
    <xf numFmtId="10" fontId="14" fillId="4" borderId="10" xfId="0" applyNumberFormat="1" applyFont="1" applyFill="1" applyBorder="1"/>
    <xf numFmtId="10" fontId="9" fillId="0" borderId="10" xfId="0" applyNumberFormat="1" applyFont="1" applyBorder="1"/>
    <xf numFmtId="11" fontId="4" fillId="0" borderId="0" xfId="0" applyNumberFormat="1" applyFont="1"/>
    <xf numFmtId="10" fontId="2" fillId="0" borderId="0" xfId="0" applyNumberFormat="1" applyFont="1"/>
    <xf numFmtId="0" fontId="2" fillId="0" borderId="25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34" xfId="0" applyFont="1" applyBorder="1"/>
    <xf numFmtId="0" fontId="3" fillId="0" borderId="33" xfId="0" applyFont="1" applyBorder="1"/>
    <xf numFmtId="0" fontId="3" fillId="0" borderId="30" xfId="0" applyFont="1" applyBorder="1"/>
    <xf numFmtId="169" fontId="4" fillId="0" borderId="0" xfId="0" applyNumberFormat="1" applyFont="1"/>
    <xf numFmtId="166" fontId="15" fillId="0" borderId="33" xfId="0" applyNumberFormat="1" applyFont="1" applyBorder="1"/>
    <xf numFmtId="167" fontId="5" fillId="0" borderId="45" xfId="0" applyNumberFormat="1" applyFont="1" applyBorder="1"/>
    <xf numFmtId="164" fontId="13" fillId="0" borderId="0" xfId="0" applyNumberFormat="1" applyFont="1"/>
    <xf numFmtId="10" fontId="9" fillId="0" borderId="11" xfId="0" applyNumberFormat="1" applyFont="1" applyBorder="1"/>
    <xf numFmtId="164" fontId="4" fillId="7" borderId="30" xfId="0" applyNumberFormat="1" applyFont="1" applyFill="1" applyBorder="1"/>
    <xf numFmtId="10" fontId="4" fillId="7" borderId="13" xfId="0" applyNumberFormat="1" applyFont="1" applyFill="1" applyBorder="1"/>
    <xf numFmtId="0" fontId="11" fillId="7" borderId="32" xfId="0" applyFont="1" applyFill="1" applyBorder="1"/>
    <xf numFmtId="10" fontId="4" fillId="7" borderId="30" xfId="0" applyNumberFormat="1" applyFont="1" applyFill="1" applyBorder="1"/>
    <xf numFmtId="166" fontId="15" fillId="0" borderId="0" xfId="0" applyNumberFormat="1" applyFont="1"/>
    <xf numFmtId="3" fontId="6" fillId="0" borderId="7" xfId="0" quotePrefix="1" applyNumberFormat="1" applyFont="1" applyBorder="1" applyAlignment="1">
      <alignment horizontal="right"/>
    </xf>
    <xf numFmtId="3" fontId="6" fillId="0" borderId="7" xfId="0" applyNumberFormat="1" applyFont="1" applyBorder="1" applyAlignment="1">
      <alignment horizontal="right"/>
    </xf>
    <xf numFmtId="3" fontId="6" fillId="0" borderId="10" xfId="0" quotePrefix="1" applyNumberFormat="1" applyFont="1" applyBorder="1" applyAlignment="1">
      <alignment horizontal="right"/>
    </xf>
    <xf numFmtId="15" fontId="24" fillId="0" borderId="0" xfId="0" applyNumberFormat="1" applyFont="1"/>
    <xf numFmtId="4" fontId="24" fillId="0" borderId="0" xfId="0" applyNumberFormat="1" applyFont="1"/>
    <xf numFmtId="3" fontId="24" fillId="0" borderId="0" xfId="0" applyNumberFormat="1" applyFont="1"/>
    <xf numFmtId="170" fontId="5" fillId="0" borderId="9" xfId="0" applyNumberFormat="1" applyFont="1" applyBorder="1"/>
    <xf numFmtId="170" fontId="5" fillId="0" borderId="6" xfId="0" applyNumberFormat="1" applyFont="1" applyBorder="1"/>
    <xf numFmtId="170" fontId="7" fillId="0" borderId="8" xfId="0" applyNumberFormat="1" applyFont="1" applyBorder="1"/>
    <xf numFmtId="170" fontId="0" fillId="0" borderId="0" xfId="0" applyNumberFormat="1"/>
    <xf numFmtId="168" fontId="25" fillId="0" borderId="14" xfId="0" applyNumberFormat="1" applyFont="1" applyBorder="1"/>
    <xf numFmtId="168" fontId="15" fillId="0" borderId="14" xfId="0" applyNumberFormat="1" applyFont="1" applyBorder="1"/>
    <xf numFmtId="168" fontId="15" fillId="0" borderId="0" xfId="0" applyNumberFormat="1" applyFont="1"/>
    <xf numFmtId="168" fontId="15" fillId="0" borderId="33" xfId="0" applyNumberFormat="1" applyFont="1" applyBorder="1"/>
    <xf numFmtId="168" fontId="7" fillId="0" borderId="13" xfId="0" applyNumberFormat="1" applyFont="1" applyBorder="1"/>
    <xf numFmtId="168" fontId="5" fillId="0" borderId="13" xfId="0" applyNumberFormat="1" applyFont="1" applyBorder="1"/>
    <xf numFmtId="168" fontId="15" fillId="0" borderId="13" xfId="0" applyNumberFormat="1" applyFont="1" applyBorder="1"/>
    <xf numFmtId="165" fontId="4" fillId="0" borderId="14" xfId="1" applyNumberFormat="1" applyFont="1" applyBorder="1"/>
    <xf numFmtId="166" fontId="4" fillId="0" borderId="13" xfId="0" applyNumberFormat="1" applyFont="1" applyBorder="1"/>
    <xf numFmtId="11" fontId="4" fillId="0" borderId="14" xfId="0" applyNumberFormat="1" applyFont="1" applyBorder="1"/>
    <xf numFmtId="166" fontId="25" fillId="0" borderId="13" xfId="0" applyNumberFormat="1" applyFont="1" applyBorder="1"/>
    <xf numFmtId="0" fontId="6" fillId="0" borderId="0" xfId="0" applyFont="1"/>
    <xf numFmtId="165" fontId="15" fillId="5" borderId="6" xfId="1" applyNumberFormat="1" applyFont="1" applyFill="1" applyBorder="1"/>
    <xf numFmtId="165" fontId="15" fillId="6" borderId="6" xfId="1" applyNumberFormat="1" applyFont="1" applyFill="1" applyBorder="1"/>
    <xf numFmtId="165" fontId="15" fillId="5" borderId="8" xfId="1" applyNumberFormat="1" applyFont="1" applyFill="1" applyBorder="1"/>
    <xf numFmtId="4" fontId="15" fillId="0" borderId="46" xfId="0" applyNumberFormat="1" applyFont="1" applyBorder="1"/>
    <xf numFmtId="4" fontId="15" fillId="0" borderId="7" xfId="0" applyNumberFormat="1" applyFont="1" applyBorder="1"/>
    <xf numFmtId="4" fontId="15" fillId="0" borderId="47" xfId="0" applyNumberFormat="1" applyFont="1" applyBorder="1"/>
    <xf numFmtId="4" fontId="15" fillId="0" borderId="6" xfId="0" applyNumberFormat="1" applyFont="1" applyBorder="1"/>
    <xf numFmtId="3" fontId="15" fillId="0" borderId="47" xfId="0" applyNumberFormat="1" applyFont="1" applyBorder="1"/>
    <xf numFmtId="3" fontId="15" fillId="0" borderId="6" xfId="0" applyNumberFormat="1" applyFont="1" applyBorder="1"/>
    <xf numFmtId="0" fontId="4" fillId="0" borderId="47" xfId="0" applyFont="1" applyBorder="1"/>
    <xf numFmtId="15" fontId="15" fillId="0" borderId="47" xfId="0" applyNumberFormat="1" applyFont="1" applyBorder="1"/>
    <xf numFmtId="15" fontId="15" fillId="0" borderId="6" xfId="0" applyNumberFormat="1" applyFont="1" applyBorder="1"/>
    <xf numFmtId="15" fontId="15" fillId="0" borderId="8" xfId="0" applyNumberFormat="1" applyFont="1" applyBorder="1"/>
    <xf numFmtId="4" fontId="15" fillId="0" borderId="5" xfId="0" applyNumberFormat="1" applyFont="1" applyBorder="1"/>
    <xf numFmtId="4" fontId="15" fillId="0" borderId="8" xfId="0" applyNumberFormat="1" applyFont="1" applyBorder="1"/>
    <xf numFmtId="3" fontId="15" fillId="0" borderId="8" xfId="0" applyNumberFormat="1" applyFont="1" applyBorder="1"/>
    <xf numFmtId="168" fontId="15" fillId="0" borderId="24" xfId="0" applyNumberFormat="1" applyFont="1" applyBorder="1"/>
    <xf numFmtId="0" fontId="28" fillId="0" borderId="13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28" fillId="0" borderId="13" xfId="0" applyFont="1" applyBorder="1"/>
    <xf numFmtId="4" fontId="5" fillId="0" borderId="7" xfId="0" applyNumberFormat="1" applyFont="1" applyBorder="1"/>
    <xf numFmtId="0" fontId="25" fillId="0" borderId="14" xfId="0" applyFont="1" applyBorder="1"/>
    <xf numFmtId="4" fontId="5" fillId="0" borderId="14" xfId="0" applyNumberFormat="1" applyFont="1" applyBorder="1" applyAlignment="1">
      <alignment horizontal="right"/>
    </xf>
    <xf numFmtId="0" fontId="3" fillId="8" borderId="44" xfId="0" applyFont="1" applyFill="1" applyBorder="1"/>
    <xf numFmtId="4" fontId="5" fillId="8" borderId="43" xfId="0" applyNumberFormat="1" applyFont="1" applyFill="1" applyBorder="1"/>
    <xf numFmtId="0" fontId="3" fillId="8" borderId="18" xfId="0" applyFont="1" applyFill="1" applyBorder="1"/>
    <xf numFmtId="165" fontId="5" fillId="0" borderId="14" xfId="0" applyNumberFormat="1" applyFont="1" applyBorder="1"/>
    <xf numFmtId="165" fontId="5" fillId="8" borderId="19" xfId="0" applyNumberFormat="1" applyFont="1" applyFill="1" applyBorder="1"/>
    <xf numFmtId="165" fontId="5" fillId="8" borderId="18" xfId="0" applyNumberFormat="1" applyFont="1" applyFill="1" applyBorder="1"/>
    <xf numFmtId="4" fontId="6" fillId="8" borderId="28" xfId="0" applyNumberFormat="1" applyFont="1" applyFill="1" applyBorder="1"/>
    <xf numFmtId="165" fontId="6" fillId="8" borderId="48" xfId="0" applyNumberFormat="1" applyFont="1" applyFill="1" applyBorder="1"/>
    <xf numFmtId="0" fontId="5" fillId="0" borderId="7" xfId="0" applyFont="1" applyBorder="1" applyAlignment="1">
      <alignment horizontal="right"/>
    </xf>
    <xf numFmtId="14" fontId="5" fillId="0" borderId="7" xfId="0" applyNumberFormat="1" applyFont="1" applyBorder="1" applyAlignment="1">
      <alignment horizontal="right"/>
    </xf>
    <xf numFmtId="171" fontId="4" fillId="0" borderId="14" xfId="0" applyNumberFormat="1" applyFont="1" applyBorder="1"/>
    <xf numFmtId="166" fontId="15" fillId="0" borderId="49" xfId="0" applyNumberFormat="1" applyFont="1" applyBorder="1"/>
    <xf numFmtId="0" fontId="1" fillId="0" borderId="10" xfId="0" applyFont="1" applyBorder="1" applyAlignment="1">
      <alignment horizontal="center"/>
    </xf>
    <xf numFmtId="10" fontId="2" fillId="0" borderId="8" xfId="0" applyNumberFormat="1" applyFont="1" applyBorder="1"/>
    <xf numFmtId="9" fontId="0" fillId="0" borderId="0" xfId="0" applyNumberFormat="1"/>
    <xf numFmtId="10" fontId="0" fillId="0" borderId="0" xfId="1" applyNumberFormat="1" applyFont="1"/>
    <xf numFmtId="0" fontId="1" fillId="0" borderId="0" xfId="0" applyFont="1" applyAlignment="1">
      <alignment horizontal="center"/>
    </xf>
    <xf numFmtId="0" fontId="12" fillId="0" borderId="0" xfId="0" applyFont="1"/>
    <xf numFmtId="164" fontId="13" fillId="0" borderId="0" xfId="0" applyNumberFormat="1" applyFont="1" applyAlignment="1">
      <alignment horizontal="right"/>
    </xf>
    <xf numFmtId="164" fontId="4" fillId="0" borderId="0" xfId="0" applyNumberFormat="1" applyFont="1"/>
    <xf numFmtId="0" fontId="20" fillId="0" borderId="0" xfId="0" applyFont="1"/>
    <xf numFmtId="4" fontId="20" fillId="0" borderId="0" xfId="0" applyNumberFormat="1" applyFont="1"/>
    <xf numFmtId="0" fontId="27" fillId="0" borderId="0" xfId="0" applyFont="1" applyAlignment="1">
      <alignment horizontal="center"/>
    </xf>
    <xf numFmtId="164" fontId="29" fillId="0" borderId="0" xfId="0" applyNumberFormat="1" applyFont="1"/>
    <xf numFmtId="0" fontId="9" fillId="0" borderId="0" xfId="0" applyFont="1"/>
    <xf numFmtId="164" fontId="15" fillId="0" borderId="0" xfId="0" applyNumberFormat="1" applyFont="1"/>
    <xf numFmtId="172" fontId="2" fillId="0" borderId="22" xfId="0" applyNumberFormat="1" applyFont="1" applyBorder="1"/>
    <xf numFmtId="11" fontId="2" fillId="0" borderId="15" xfId="0" applyNumberFormat="1" applyFont="1" applyBorder="1"/>
    <xf numFmtId="11" fontId="2" fillId="0" borderId="23" xfId="0" applyNumberFormat="1" applyFont="1" applyBorder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170" fontId="3" fillId="2" borderId="1" xfId="0" applyNumberFormat="1" applyFont="1" applyFill="1" applyBorder="1" applyAlignment="1">
      <alignment horizontal="center"/>
    </xf>
    <xf numFmtId="170" fontId="3" fillId="2" borderId="3" xfId="0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1" fillId="2" borderId="27" xfId="0" applyFont="1" applyFill="1" applyBorder="1" applyAlignment="1">
      <alignment horizontal="center"/>
    </xf>
    <xf numFmtId="0" fontId="1" fillId="2" borderId="28" xfId="0" applyFont="1" applyFill="1" applyBorder="1" applyAlignment="1">
      <alignment horizontal="center"/>
    </xf>
    <xf numFmtId="0" fontId="1" fillId="2" borderId="29" xfId="0" applyFont="1" applyFill="1" applyBorder="1" applyAlignment="1">
      <alignment horizontal="center"/>
    </xf>
    <xf numFmtId="0" fontId="17" fillId="6" borderId="27" xfId="0" applyFont="1" applyFill="1" applyBorder="1" applyAlignment="1">
      <alignment horizontal="center"/>
    </xf>
    <xf numFmtId="0" fontId="17" fillId="6" borderId="28" xfId="0" applyFont="1" applyFill="1" applyBorder="1" applyAlignment="1">
      <alignment horizontal="center"/>
    </xf>
    <xf numFmtId="0" fontId="17" fillId="6" borderId="29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Performance history 2 months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tx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Return!$A$2:$A$43</c:f>
              <c:strCache>
                <c:ptCount val="42"/>
                <c:pt idx="0">
                  <c:v>9/25/2025</c:v>
                </c:pt>
                <c:pt idx="1">
                  <c:v>9/26/2025</c:v>
                </c:pt>
                <c:pt idx="2">
                  <c:v>9/29/2025</c:v>
                </c:pt>
                <c:pt idx="3">
                  <c:v>9/30/2025</c:v>
                </c:pt>
                <c:pt idx="4">
                  <c:v>10-01-2025</c:v>
                </c:pt>
                <c:pt idx="5">
                  <c:v>10-02-2025</c:v>
                </c:pt>
                <c:pt idx="6">
                  <c:v>10-03-2025</c:v>
                </c:pt>
                <c:pt idx="7">
                  <c:v>10-06-2025</c:v>
                </c:pt>
                <c:pt idx="8">
                  <c:v>10-07-2025</c:v>
                </c:pt>
                <c:pt idx="9">
                  <c:v>10-08-2025</c:v>
                </c:pt>
                <c:pt idx="10">
                  <c:v>10-09-2025</c:v>
                </c:pt>
                <c:pt idx="11">
                  <c:v>10-10-2025</c:v>
                </c:pt>
                <c:pt idx="12">
                  <c:v>10/13/2025</c:v>
                </c:pt>
                <c:pt idx="13">
                  <c:v>10/14/2025</c:v>
                </c:pt>
                <c:pt idx="14">
                  <c:v>10/15/2025</c:v>
                </c:pt>
                <c:pt idx="15">
                  <c:v>10/16/2025</c:v>
                </c:pt>
                <c:pt idx="16">
                  <c:v>10/17/2025</c:v>
                </c:pt>
                <c:pt idx="17">
                  <c:v>10/20/2025</c:v>
                </c:pt>
                <c:pt idx="18">
                  <c:v>10/21/2025</c:v>
                </c:pt>
                <c:pt idx="19">
                  <c:v>10/22/2025</c:v>
                </c:pt>
                <c:pt idx="20">
                  <c:v>10/23/2025</c:v>
                </c:pt>
                <c:pt idx="21">
                  <c:v>10/24/2025</c:v>
                </c:pt>
                <c:pt idx="22">
                  <c:v>10/27/2025</c:v>
                </c:pt>
                <c:pt idx="23">
                  <c:v>10/28/2025</c:v>
                </c:pt>
                <c:pt idx="24">
                  <c:v>10/29/2025</c:v>
                </c:pt>
                <c:pt idx="25">
                  <c:v>10/30/2025</c:v>
                </c:pt>
                <c:pt idx="26">
                  <c:v>10/31/2025</c:v>
                </c:pt>
                <c:pt idx="27">
                  <c:v>11-03-2025</c:v>
                </c:pt>
                <c:pt idx="28">
                  <c:v>11-04-2025</c:v>
                </c:pt>
                <c:pt idx="29">
                  <c:v>11-05-2025</c:v>
                </c:pt>
                <c:pt idx="30">
                  <c:v>11-06-2025</c:v>
                </c:pt>
                <c:pt idx="31">
                  <c:v>11-07-2025</c:v>
                </c:pt>
                <c:pt idx="32">
                  <c:v>11-10-2025</c:v>
                </c:pt>
                <c:pt idx="33">
                  <c:v>11-11-2025</c:v>
                </c:pt>
                <c:pt idx="34">
                  <c:v>11-12-2025</c:v>
                </c:pt>
                <c:pt idx="35">
                  <c:v>11/13/2025</c:v>
                </c:pt>
                <c:pt idx="36">
                  <c:v>11/14/2025</c:v>
                </c:pt>
                <c:pt idx="37">
                  <c:v>11/17/2025</c:v>
                </c:pt>
                <c:pt idx="38">
                  <c:v>11/18/2025</c:v>
                </c:pt>
                <c:pt idx="39">
                  <c:v>11/19/2025</c:v>
                </c:pt>
                <c:pt idx="40">
                  <c:v>11/20/2025</c:v>
                </c:pt>
                <c:pt idx="41">
                  <c:v>11/21/2025</c:v>
                </c:pt>
              </c:strCache>
            </c:strRef>
          </c:cat>
          <c:val>
            <c:numRef>
              <c:f>Return!$C$2:$C$43</c:f>
              <c:numCache>
                <c:formatCode>0.000%</c:formatCode>
                <c:ptCount val="42"/>
                <c:pt idx="1">
                  <c:v>2.7397000000067057E-5</c:v>
                </c:pt>
                <c:pt idx="2">
                  <c:v>8.2194748110366806E-5</c:v>
                </c:pt>
                <c:pt idx="3">
                  <c:v>2.7396997453461088E-5</c:v>
                </c:pt>
                <c:pt idx="4">
                  <c:v>2.7397246741557537E-5</c:v>
                </c:pt>
                <c:pt idx="5">
                  <c:v>2.7397495988788488E-5</c:v>
                </c:pt>
                <c:pt idx="6">
                  <c:v>2.7397745194597854E-5</c:v>
                </c:pt>
                <c:pt idx="7">
                  <c:v>8.2193983078827169E-5</c:v>
                </c:pt>
                <c:pt idx="8">
                  <c:v>2.7397741991842912E-5</c:v>
                </c:pt>
                <c:pt idx="9">
                  <c:v>2.7396991376141834E-5</c:v>
                </c:pt>
                <c:pt idx="10">
                  <c:v>2.739724044544936E-5</c:v>
                </c:pt>
                <c:pt idx="11">
                  <c:v>2.7397489473723155E-5</c:v>
                </c:pt>
                <c:pt idx="12">
                  <c:v>8.2194214972005061E-5</c:v>
                </c:pt>
                <c:pt idx="13">
                  <c:v>2.7397485724349602E-5</c:v>
                </c:pt>
                <c:pt idx="14">
                  <c:v>2.7397734602446976E-5</c:v>
                </c:pt>
                <c:pt idx="15">
                  <c:v>2.7396983986964629E-5</c:v>
                </c:pt>
                <c:pt idx="16">
                  <c:v>2.7397232837789345E-5</c:v>
                </c:pt>
                <c:pt idx="17">
                  <c:v>8.2194443736902209E-5</c:v>
                </c:pt>
                <c:pt idx="18">
                  <c:v>2.7397228542304085E-5</c:v>
                </c:pt>
                <c:pt idx="19">
                  <c:v>2.7397477242646371E-5</c:v>
                </c:pt>
                <c:pt idx="20">
                  <c:v>2.7397725901984537E-5</c:v>
                </c:pt>
                <c:pt idx="21">
                  <c:v>2.7396975287165074E-5</c:v>
                </c:pt>
                <c:pt idx="22">
                  <c:v>8.219466937547865E-5</c:v>
                </c:pt>
                <c:pt idx="23">
                  <c:v>2.7396970445888698E-5</c:v>
                </c:pt>
                <c:pt idx="24">
                  <c:v>2.7397218968934685E-5</c:v>
                </c:pt>
                <c:pt idx="25">
                  <c:v>2.7397467450619715E-5</c:v>
                </c:pt>
                <c:pt idx="26">
                  <c:v>2.7397715891690796E-5</c:v>
                </c:pt>
                <c:pt idx="27">
                  <c:v>8.2193892874776818E-5</c:v>
                </c:pt>
                <c:pt idx="28">
                  <c:v>-7.8463418447104714E-4</c:v>
                </c:pt>
                <c:pt idx="29">
                  <c:v>1.2730279947211303E-3</c:v>
                </c:pt>
                <c:pt idx="30">
                  <c:v>-4.5845729620198374E-3</c:v>
                </c:pt>
                <c:pt idx="31">
                  <c:v>4.3522078278917569E-5</c:v>
                </c:pt>
                <c:pt idx="32">
                  <c:v>1.138736361291711E-3</c:v>
                </c:pt>
                <c:pt idx="33">
                  <c:v>4.5040896895542329E-4</c:v>
                </c:pt>
                <c:pt idx="34">
                  <c:v>-2.6249518609196152E-4</c:v>
                </c:pt>
                <c:pt idx="35">
                  <c:v>-2.473953977758416E-3</c:v>
                </c:pt>
                <c:pt idx="36">
                  <c:v>4.1991276741658957E-4</c:v>
                </c:pt>
                <c:pt idx="37">
                  <c:v>-1.6625560843716268E-3</c:v>
                </c:pt>
                <c:pt idx="38">
                  <c:v>-2.5125891794445084E-4</c:v>
                </c:pt>
                <c:pt idx="39">
                  <c:v>2.4235682187003886E-3</c:v>
                </c:pt>
                <c:pt idx="40">
                  <c:v>-8.0694650233184353E-3</c:v>
                </c:pt>
                <c:pt idx="41">
                  <c:v>4.480548341732944E-3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C6-E54A-9E14-FC0F426691DC}"/>
            </c:ext>
          </c:extLst>
        </c:ser>
        <c:ser>
          <c:idx val="1"/>
          <c:order val="1"/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Return!$A$2:$A$43</c:f>
              <c:strCache>
                <c:ptCount val="42"/>
                <c:pt idx="0">
                  <c:v>9/25/2025</c:v>
                </c:pt>
                <c:pt idx="1">
                  <c:v>9/26/2025</c:v>
                </c:pt>
                <c:pt idx="2">
                  <c:v>9/29/2025</c:v>
                </c:pt>
                <c:pt idx="3">
                  <c:v>9/30/2025</c:v>
                </c:pt>
                <c:pt idx="4">
                  <c:v>10-01-2025</c:v>
                </c:pt>
                <c:pt idx="5">
                  <c:v>10-02-2025</c:v>
                </c:pt>
                <c:pt idx="6">
                  <c:v>10-03-2025</c:v>
                </c:pt>
                <c:pt idx="7">
                  <c:v>10-06-2025</c:v>
                </c:pt>
                <c:pt idx="8">
                  <c:v>10-07-2025</c:v>
                </c:pt>
                <c:pt idx="9">
                  <c:v>10-08-2025</c:v>
                </c:pt>
                <c:pt idx="10">
                  <c:v>10-09-2025</c:v>
                </c:pt>
                <c:pt idx="11">
                  <c:v>10-10-2025</c:v>
                </c:pt>
                <c:pt idx="12">
                  <c:v>10/13/2025</c:v>
                </c:pt>
                <c:pt idx="13">
                  <c:v>10/14/2025</c:v>
                </c:pt>
                <c:pt idx="14">
                  <c:v>10/15/2025</c:v>
                </c:pt>
                <c:pt idx="15">
                  <c:v>10/16/2025</c:v>
                </c:pt>
                <c:pt idx="16">
                  <c:v>10/17/2025</c:v>
                </c:pt>
                <c:pt idx="17">
                  <c:v>10/20/2025</c:v>
                </c:pt>
                <c:pt idx="18">
                  <c:v>10/21/2025</c:v>
                </c:pt>
                <c:pt idx="19">
                  <c:v>10/22/2025</c:v>
                </c:pt>
                <c:pt idx="20">
                  <c:v>10/23/2025</c:v>
                </c:pt>
                <c:pt idx="21">
                  <c:v>10/24/2025</c:v>
                </c:pt>
                <c:pt idx="22">
                  <c:v>10/27/2025</c:v>
                </c:pt>
                <c:pt idx="23">
                  <c:v>10/28/2025</c:v>
                </c:pt>
                <c:pt idx="24">
                  <c:v>10/29/2025</c:v>
                </c:pt>
                <c:pt idx="25">
                  <c:v>10/30/2025</c:v>
                </c:pt>
                <c:pt idx="26">
                  <c:v>10/31/2025</c:v>
                </c:pt>
                <c:pt idx="27">
                  <c:v>11-03-2025</c:v>
                </c:pt>
                <c:pt idx="28">
                  <c:v>11-04-2025</c:v>
                </c:pt>
                <c:pt idx="29">
                  <c:v>11-05-2025</c:v>
                </c:pt>
                <c:pt idx="30">
                  <c:v>11-06-2025</c:v>
                </c:pt>
                <c:pt idx="31">
                  <c:v>11-07-2025</c:v>
                </c:pt>
                <c:pt idx="32">
                  <c:v>11-10-2025</c:v>
                </c:pt>
                <c:pt idx="33">
                  <c:v>11-11-2025</c:v>
                </c:pt>
                <c:pt idx="34">
                  <c:v>11-12-2025</c:v>
                </c:pt>
                <c:pt idx="35">
                  <c:v>11/13/2025</c:v>
                </c:pt>
                <c:pt idx="36">
                  <c:v>11/14/2025</c:v>
                </c:pt>
                <c:pt idx="37">
                  <c:v>11/17/2025</c:v>
                </c:pt>
                <c:pt idx="38">
                  <c:v>11/18/2025</c:v>
                </c:pt>
                <c:pt idx="39">
                  <c:v>11/19/2025</c:v>
                </c:pt>
                <c:pt idx="40">
                  <c:v>11/20/2025</c:v>
                </c:pt>
                <c:pt idx="41">
                  <c:v>11/21/2025</c:v>
                </c:pt>
              </c:strCache>
            </c:strRef>
          </c:cat>
          <c:val>
            <c:numRef>
              <c:f>Return!$E$2:$E$43</c:f>
              <c:numCache>
                <c:formatCode>0.000%</c:formatCode>
                <c:ptCount val="42"/>
                <c:pt idx="1">
                  <c:v>5.901839896316507E-3</c:v>
                </c:pt>
                <c:pt idx="2">
                  <c:v>2.6355795716242786E-3</c:v>
                </c:pt>
                <c:pt idx="3">
                  <c:v>4.0908483593821545E-3</c:v>
                </c:pt>
                <c:pt idx="4">
                  <c:v>3.3998857734067007E-3</c:v>
                </c:pt>
                <c:pt idx="5">
                  <c:v>6.1836929312202677E-4</c:v>
                </c:pt>
                <c:pt idx="6">
                  <c:v>6.5521529034167953E-5</c:v>
                </c:pt>
                <c:pt idx="7">
                  <c:v>3.6466298082578194E-3</c:v>
                </c:pt>
                <c:pt idx="8">
                  <c:v>-3.8114143626080225E-3</c:v>
                </c:pt>
                <c:pt idx="9">
                  <c:v>5.8276082381798601E-3</c:v>
                </c:pt>
                <c:pt idx="10">
                  <c:v>-2.755518440207853E-3</c:v>
                </c:pt>
                <c:pt idx="11">
                  <c:v>-2.7111658161485034E-2</c:v>
                </c:pt>
                <c:pt idx="12">
                  <c:v>1.5598602672868875E-2</c:v>
                </c:pt>
                <c:pt idx="13">
                  <c:v>-1.5643032313906301E-3</c:v>
                </c:pt>
                <c:pt idx="14">
                  <c:v>4.0260011950074576E-3</c:v>
                </c:pt>
                <c:pt idx="15">
                  <c:v>-6.2943520220175939E-3</c:v>
                </c:pt>
                <c:pt idx="16">
                  <c:v>5.2707242494045943E-3</c:v>
                </c:pt>
                <c:pt idx="17">
                  <c:v>1.0672252892777755E-2</c:v>
                </c:pt>
                <c:pt idx="18">
                  <c:v>3.2664551389543281E-5</c:v>
                </c:pt>
                <c:pt idx="19">
                  <c:v>-5.3375103001329889E-3</c:v>
                </c:pt>
                <c:pt idx="20">
                  <c:v>5.8273875272412401E-3</c:v>
                </c:pt>
                <c:pt idx="21">
                  <c:v>7.9024225191587378E-3</c:v>
                </c:pt>
                <c:pt idx="22">
                  <c:v>1.2290019126314696E-2</c:v>
                </c:pt>
                <c:pt idx="23">
                  <c:v>2.287946753239266E-3</c:v>
                </c:pt>
                <c:pt idx="24">
                  <c:v>-4.3535740666326396E-5</c:v>
                </c:pt>
                <c:pt idx="25">
                  <c:v>-9.9048122149191873E-3</c:v>
                </c:pt>
                <c:pt idx="26">
                  <c:v>2.6178701149458502E-3</c:v>
                </c:pt>
                <c:pt idx="27">
                  <c:v>1.7207099207626148E-3</c:v>
                </c:pt>
                <c:pt idx="28">
                  <c:v>-1.1736770592982759E-2</c:v>
                </c:pt>
                <c:pt idx="29">
                  <c:v>3.6535209811638077E-3</c:v>
                </c:pt>
                <c:pt idx="30">
                  <c:v>-1.1178157494750851E-2</c:v>
                </c:pt>
                <c:pt idx="31">
                  <c:v>1.2618446740632102E-3</c:v>
                </c:pt>
                <c:pt idx="32">
                  <c:v>1.5400963024610645E-2</c:v>
                </c:pt>
                <c:pt idx="33">
                  <c:v>2.0753963084875191E-3</c:v>
                </c:pt>
                <c:pt idx="34">
                  <c:v>6.2950861813370414E-4</c:v>
                </c:pt>
                <c:pt idx="35">
                  <c:v>-1.6556900387101336E-2</c:v>
                </c:pt>
                <c:pt idx="36">
                  <c:v>-5.0167050340707141E-4</c:v>
                </c:pt>
                <c:pt idx="37">
                  <c:v>-9.1623094959838534E-3</c:v>
                </c:pt>
                <c:pt idx="38">
                  <c:v>-8.2563871224939928E-3</c:v>
                </c:pt>
                <c:pt idx="39">
                  <c:v>3.753785520422187E-3</c:v>
                </c:pt>
                <c:pt idx="40">
                  <c:v>-1.5567225119539372E-2</c:v>
                </c:pt>
                <c:pt idx="41">
                  <c:v>9.8229633753188009E-3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5C6-E54A-9E14-FC0F426691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49377824"/>
        <c:axId val="391660064"/>
      </c:lineChart>
      <c:catAx>
        <c:axId val="1149377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1660064"/>
        <c:crosses val="autoZero"/>
        <c:auto val="1"/>
        <c:lblAlgn val="ctr"/>
        <c:lblOffset val="100"/>
        <c:noMultiLvlLbl val="0"/>
      </c:catAx>
      <c:valAx>
        <c:axId val="391660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9377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Performance history 1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tx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Return!$A$20:$A$43</c:f>
              <c:strCache>
                <c:ptCount val="24"/>
                <c:pt idx="0">
                  <c:v>10/21/2025</c:v>
                </c:pt>
                <c:pt idx="1">
                  <c:v>10/22/2025</c:v>
                </c:pt>
                <c:pt idx="2">
                  <c:v>10/23/2025</c:v>
                </c:pt>
                <c:pt idx="3">
                  <c:v>10/24/2025</c:v>
                </c:pt>
                <c:pt idx="4">
                  <c:v>10/27/2025</c:v>
                </c:pt>
                <c:pt idx="5">
                  <c:v>10/28/2025</c:v>
                </c:pt>
                <c:pt idx="6">
                  <c:v>10/29/2025</c:v>
                </c:pt>
                <c:pt idx="7">
                  <c:v>10/30/2025</c:v>
                </c:pt>
                <c:pt idx="8">
                  <c:v>10/31/2025</c:v>
                </c:pt>
                <c:pt idx="9">
                  <c:v>11-03-2025</c:v>
                </c:pt>
                <c:pt idx="10">
                  <c:v>11-04-2025</c:v>
                </c:pt>
                <c:pt idx="11">
                  <c:v>11-05-2025</c:v>
                </c:pt>
                <c:pt idx="12">
                  <c:v>11-06-2025</c:v>
                </c:pt>
                <c:pt idx="13">
                  <c:v>11-07-2025</c:v>
                </c:pt>
                <c:pt idx="14">
                  <c:v>11-10-2025</c:v>
                </c:pt>
                <c:pt idx="15">
                  <c:v>11-11-2025</c:v>
                </c:pt>
                <c:pt idx="16">
                  <c:v>11-12-2025</c:v>
                </c:pt>
                <c:pt idx="17">
                  <c:v>11/13/2025</c:v>
                </c:pt>
                <c:pt idx="18">
                  <c:v>11/14/2025</c:v>
                </c:pt>
                <c:pt idx="19">
                  <c:v>11/17/2025</c:v>
                </c:pt>
                <c:pt idx="20">
                  <c:v>11/18/2025</c:v>
                </c:pt>
                <c:pt idx="21">
                  <c:v>11/19/2025</c:v>
                </c:pt>
                <c:pt idx="22">
                  <c:v>11/20/2025</c:v>
                </c:pt>
                <c:pt idx="23">
                  <c:v>11/21/2025</c:v>
                </c:pt>
              </c:strCache>
            </c:strRef>
          </c:cat>
          <c:val>
            <c:numRef>
              <c:f>Return!$C$20:$C$43</c:f>
              <c:numCache>
                <c:formatCode>0.000%</c:formatCode>
                <c:ptCount val="24"/>
                <c:pt idx="0">
                  <c:v>2.7397228542304085E-5</c:v>
                </c:pt>
                <c:pt idx="1">
                  <c:v>2.7397477242646371E-5</c:v>
                </c:pt>
                <c:pt idx="2">
                  <c:v>2.7397725901984537E-5</c:v>
                </c:pt>
                <c:pt idx="3">
                  <c:v>2.7396975287165074E-5</c:v>
                </c:pt>
                <c:pt idx="4">
                  <c:v>8.219466937547865E-5</c:v>
                </c:pt>
                <c:pt idx="5">
                  <c:v>2.7396970445888698E-5</c:v>
                </c:pt>
                <c:pt idx="6">
                  <c:v>2.7397218968934685E-5</c:v>
                </c:pt>
                <c:pt idx="7">
                  <c:v>2.7397467450619715E-5</c:v>
                </c:pt>
                <c:pt idx="8">
                  <c:v>2.7397715891690796E-5</c:v>
                </c:pt>
                <c:pt idx="9">
                  <c:v>8.2193892874776818E-5</c:v>
                </c:pt>
                <c:pt idx="10">
                  <c:v>-7.8463418447104714E-4</c:v>
                </c:pt>
                <c:pt idx="11">
                  <c:v>1.2730279947211303E-3</c:v>
                </c:pt>
                <c:pt idx="12">
                  <c:v>-4.5845729620198374E-3</c:v>
                </c:pt>
                <c:pt idx="13">
                  <c:v>4.3522078278917569E-5</c:v>
                </c:pt>
                <c:pt idx="14">
                  <c:v>1.138736361291711E-3</c:v>
                </c:pt>
                <c:pt idx="15">
                  <c:v>4.5040896895542329E-4</c:v>
                </c:pt>
                <c:pt idx="16">
                  <c:v>-2.6249518609196152E-4</c:v>
                </c:pt>
                <c:pt idx="17">
                  <c:v>-2.473953977758416E-3</c:v>
                </c:pt>
                <c:pt idx="18">
                  <c:v>4.1991276741658957E-4</c:v>
                </c:pt>
                <c:pt idx="19">
                  <c:v>-1.6625560843716268E-3</c:v>
                </c:pt>
                <c:pt idx="20">
                  <c:v>-2.5125891794445084E-4</c:v>
                </c:pt>
                <c:pt idx="21">
                  <c:v>2.4235682187003886E-3</c:v>
                </c:pt>
                <c:pt idx="22">
                  <c:v>-8.0694650233184353E-3</c:v>
                </c:pt>
                <c:pt idx="23">
                  <c:v>4.480548341732944E-3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630-094A-9052-E28F86D29A56}"/>
            </c:ext>
          </c:extLst>
        </c:ser>
        <c:ser>
          <c:idx val="1"/>
          <c:order val="1"/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Return!$A$20:$A$43</c:f>
              <c:strCache>
                <c:ptCount val="24"/>
                <c:pt idx="0">
                  <c:v>10/21/2025</c:v>
                </c:pt>
                <c:pt idx="1">
                  <c:v>10/22/2025</c:v>
                </c:pt>
                <c:pt idx="2">
                  <c:v>10/23/2025</c:v>
                </c:pt>
                <c:pt idx="3">
                  <c:v>10/24/2025</c:v>
                </c:pt>
                <c:pt idx="4">
                  <c:v>10/27/2025</c:v>
                </c:pt>
                <c:pt idx="5">
                  <c:v>10/28/2025</c:v>
                </c:pt>
                <c:pt idx="6">
                  <c:v>10/29/2025</c:v>
                </c:pt>
                <c:pt idx="7">
                  <c:v>10/30/2025</c:v>
                </c:pt>
                <c:pt idx="8">
                  <c:v>10/31/2025</c:v>
                </c:pt>
                <c:pt idx="9">
                  <c:v>11-03-2025</c:v>
                </c:pt>
                <c:pt idx="10">
                  <c:v>11-04-2025</c:v>
                </c:pt>
                <c:pt idx="11">
                  <c:v>11-05-2025</c:v>
                </c:pt>
                <c:pt idx="12">
                  <c:v>11-06-2025</c:v>
                </c:pt>
                <c:pt idx="13">
                  <c:v>11-07-2025</c:v>
                </c:pt>
                <c:pt idx="14">
                  <c:v>11-10-2025</c:v>
                </c:pt>
                <c:pt idx="15">
                  <c:v>11-11-2025</c:v>
                </c:pt>
                <c:pt idx="16">
                  <c:v>11-12-2025</c:v>
                </c:pt>
                <c:pt idx="17">
                  <c:v>11/13/2025</c:v>
                </c:pt>
                <c:pt idx="18">
                  <c:v>11/14/2025</c:v>
                </c:pt>
                <c:pt idx="19">
                  <c:v>11/17/2025</c:v>
                </c:pt>
                <c:pt idx="20">
                  <c:v>11/18/2025</c:v>
                </c:pt>
                <c:pt idx="21">
                  <c:v>11/19/2025</c:v>
                </c:pt>
                <c:pt idx="22">
                  <c:v>11/20/2025</c:v>
                </c:pt>
                <c:pt idx="23">
                  <c:v>11/21/2025</c:v>
                </c:pt>
              </c:strCache>
            </c:strRef>
          </c:cat>
          <c:val>
            <c:numRef>
              <c:f>Return!$E$20:$E$43</c:f>
              <c:numCache>
                <c:formatCode>0.000%</c:formatCode>
                <c:ptCount val="24"/>
                <c:pt idx="0">
                  <c:v>3.2664551389543281E-5</c:v>
                </c:pt>
                <c:pt idx="1">
                  <c:v>-5.3375103001329889E-3</c:v>
                </c:pt>
                <c:pt idx="2">
                  <c:v>5.8273875272412401E-3</c:v>
                </c:pt>
                <c:pt idx="3">
                  <c:v>7.9024225191587378E-3</c:v>
                </c:pt>
                <c:pt idx="4">
                  <c:v>1.2290019126314696E-2</c:v>
                </c:pt>
                <c:pt idx="5">
                  <c:v>2.287946753239266E-3</c:v>
                </c:pt>
                <c:pt idx="6">
                  <c:v>-4.3535740666326396E-5</c:v>
                </c:pt>
                <c:pt idx="7">
                  <c:v>-9.9048122149191873E-3</c:v>
                </c:pt>
                <c:pt idx="8">
                  <c:v>2.6178701149458502E-3</c:v>
                </c:pt>
                <c:pt idx="9">
                  <c:v>1.7207099207626148E-3</c:v>
                </c:pt>
                <c:pt idx="10">
                  <c:v>-1.1736770592982759E-2</c:v>
                </c:pt>
                <c:pt idx="11">
                  <c:v>3.6535209811638077E-3</c:v>
                </c:pt>
                <c:pt idx="12">
                  <c:v>-1.1178157494750851E-2</c:v>
                </c:pt>
                <c:pt idx="13">
                  <c:v>1.2618446740632102E-3</c:v>
                </c:pt>
                <c:pt idx="14">
                  <c:v>1.5400963024610645E-2</c:v>
                </c:pt>
                <c:pt idx="15">
                  <c:v>2.0753963084875191E-3</c:v>
                </c:pt>
                <c:pt idx="16">
                  <c:v>6.2950861813370414E-4</c:v>
                </c:pt>
                <c:pt idx="17">
                  <c:v>-1.6556900387101336E-2</c:v>
                </c:pt>
                <c:pt idx="18">
                  <c:v>-5.0167050340707141E-4</c:v>
                </c:pt>
                <c:pt idx="19">
                  <c:v>-9.1623094959838534E-3</c:v>
                </c:pt>
                <c:pt idx="20">
                  <c:v>-8.2563871224939928E-3</c:v>
                </c:pt>
                <c:pt idx="21">
                  <c:v>3.753785520422187E-3</c:v>
                </c:pt>
                <c:pt idx="22">
                  <c:v>-1.5567225119539372E-2</c:v>
                </c:pt>
                <c:pt idx="23">
                  <c:v>9.8229633753188009E-3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630-094A-9052-E28F86D29A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23650303"/>
        <c:axId val="1123585855"/>
      </c:lineChart>
      <c:catAx>
        <c:axId val="1123650303"/>
        <c:scaling>
          <c:orientation val="minMax"/>
        </c:scaling>
        <c:delete val="0"/>
        <c:axPos val="b"/>
        <c:numFmt formatCode="0.00%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3585855"/>
        <c:crosses val="autoZero"/>
        <c:auto val="1"/>
        <c:lblAlgn val="ctr"/>
        <c:lblOffset val="100"/>
        <c:noMultiLvlLbl val="0"/>
      </c:catAx>
      <c:valAx>
        <c:axId val="1123585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36503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577850</xdr:colOff>
      <xdr:row>22</xdr:row>
      <xdr:rowOff>63500</xdr:rowOff>
    </xdr:from>
    <xdr:to>
      <xdr:col>10</xdr:col>
      <xdr:colOff>438150</xdr:colOff>
      <xdr:row>35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BBC7468-8874-86CE-6945-65A2EFB13F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553720</xdr:colOff>
      <xdr:row>36</xdr:row>
      <xdr:rowOff>162560</xdr:rowOff>
    </xdr:from>
    <xdr:to>
      <xdr:col>10</xdr:col>
      <xdr:colOff>411480</xdr:colOff>
      <xdr:row>50</xdr:row>
      <xdr:rowOff>81280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7ABF191-C962-FF65-BCAE-9C5C986757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06B9C-FBB4-47D2-855A-477CD0E2848B}">
  <dimension ref="A1:W113"/>
  <sheetViews>
    <sheetView workbookViewId="0">
      <selection activeCell="K112" sqref="K112"/>
    </sheetView>
  </sheetViews>
  <sheetFormatPr defaultColWidth="8.81640625" defaultRowHeight="14.5"/>
  <cols>
    <col min="1" max="1" width="11.1796875" bestFit="1" customWidth="1"/>
    <col min="2" max="5" width="9" bestFit="1" customWidth="1"/>
    <col min="6" max="6" width="11.36328125" bestFit="1" customWidth="1"/>
    <col min="7" max="7" width="13" bestFit="1" customWidth="1"/>
    <col min="10" max="10" width="19.6328125" bestFit="1" customWidth="1"/>
    <col min="11" max="11" width="20.1796875" bestFit="1" customWidth="1"/>
    <col min="15" max="15" width="11.453125" bestFit="1" customWidth="1"/>
    <col min="16" max="16" width="10.81640625" bestFit="1" customWidth="1"/>
    <col min="22" max="22" width="14.36328125" bestFit="1" customWidth="1"/>
  </cols>
  <sheetData>
    <row r="1" spans="1:23" ht="16" thickBot="1">
      <c r="A1" s="227" t="s">
        <v>0</v>
      </c>
      <c r="B1" s="228"/>
      <c r="C1" s="228"/>
      <c r="D1" s="228"/>
      <c r="E1" s="228"/>
      <c r="F1" s="228"/>
      <c r="G1" s="228"/>
      <c r="H1" s="229"/>
      <c r="J1" s="227" t="s">
        <v>0</v>
      </c>
      <c r="K1" s="229"/>
      <c r="P1" s="227" t="s">
        <v>80</v>
      </c>
      <c r="Q1" s="228"/>
      <c r="R1" s="228"/>
      <c r="S1" s="228"/>
      <c r="T1" s="228"/>
      <c r="U1" s="228"/>
      <c r="V1" s="228"/>
      <c r="W1" s="229"/>
    </row>
    <row r="2" spans="1:23" ht="15.5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7" t="s">
        <v>7</v>
      </c>
      <c r="H2" s="7" t="s">
        <v>8</v>
      </c>
      <c r="J2" s="154" t="s">
        <v>81</v>
      </c>
      <c r="K2" s="165">
        <f>AVERAGE(H4:H16)</f>
        <v>5.3849965769343011E-4</v>
      </c>
      <c r="P2" s="6" t="s">
        <v>1</v>
      </c>
      <c r="Q2" s="6" t="s">
        <v>2</v>
      </c>
      <c r="R2" s="6" t="s">
        <v>3</v>
      </c>
      <c r="S2" s="6" t="s">
        <v>4</v>
      </c>
      <c r="T2" s="6" t="s">
        <v>5</v>
      </c>
      <c r="U2" s="6" t="s">
        <v>6</v>
      </c>
      <c r="V2" s="7" t="s">
        <v>7</v>
      </c>
      <c r="W2" s="7" t="s">
        <v>8</v>
      </c>
    </row>
    <row r="3" spans="1:23" ht="15.5">
      <c r="A3" s="9">
        <v>45965</v>
      </c>
      <c r="B3" s="10">
        <v>268.33</v>
      </c>
      <c r="C3" s="10">
        <v>271.49</v>
      </c>
      <c r="D3" s="10">
        <v>267.62</v>
      </c>
      <c r="E3" s="10">
        <v>270.04000000000002</v>
      </c>
      <c r="F3" s="10">
        <v>269.77999999999997</v>
      </c>
      <c r="G3" s="11">
        <v>49274800</v>
      </c>
      <c r="H3" s="12" t="s">
        <v>10</v>
      </c>
      <c r="J3" s="155" t="s">
        <v>11</v>
      </c>
      <c r="K3" s="31">
        <f>_xlfn.STDEV.S(H4:H16)</f>
        <v>1.0674013894566761E-2</v>
      </c>
      <c r="P3" s="180">
        <v>45965</v>
      </c>
      <c r="Q3" s="173">
        <v>6788.52</v>
      </c>
      <c r="R3" s="173">
        <v>6820.21</v>
      </c>
      <c r="S3" s="175">
        <v>6766.71</v>
      </c>
      <c r="T3" s="175">
        <v>6771.55</v>
      </c>
      <c r="U3" s="175">
        <v>6771.55</v>
      </c>
      <c r="V3" s="177">
        <v>5739510000</v>
      </c>
      <c r="W3" s="179"/>
    </row>
    <row r="4" spans="1:23" ht="15.5">
      <c r="A4" s="9">
        <v>45966</v>
      </c>
      <c r="B4" s="10">
        <v>268.61</v>
      </c>
      <c r="C4" s="10">
        <v>271.7</v>
      </c>
      <c r="D4" s="10">
        <v>266.93</v>
      </c>
      <c r="E4" s="10">
        <v>270.14</v>
      </c>
      <c r="F4" s="10">
        <v>269.88</v>
      </c>
      <c r="G4" s="11">
        <v>43683100</v>
      </c>
      <c r="H4" s="14">
        <f t="shared" ref="H4:H16" si="0">(F4-F3)/F3</f>
        <v>3.7067239973320021E-4</v>
      </c>
      <c r="J4" s="155" t="s">
        <v>12</v>
      </c>
      <c r="K4" s="167">
        <f>_xlfn.COVARIANCE.S(H4:H16,$W$4:$W$16)</f>
        <v>5.6432775581248812E-5</v>
      </c>
      <c r="P4" s="181">
        <v>45966</v>
      </c>
      <c r="Q4" s="174">
        <v>6769.77</v>
      </c>
      <c r="R4" s="174">
        <v>6829.78</v>
      </c>
      <c r="S4" s="176">
        <v>6763.11</v>
      </c>
      <c r="T4" s="176">
        <v>6796.29</v>
      </c>
      <c r="U4" s="176">
        <v>6796.29</v>
      </c>
      <c r="V4" s="178">
        <v>5939600000</v>
      </c>
      <c r="W4" s="170">
        <f>(U4-U3)/U3</f>
        <v>3.6535209811638077E-3</v>
      </c>
    </row>
    <row r="5" spans="1:23" ht="15.5">
      <c r="A5" s="9">
        <v>45967</v>
      </c>
      <c r="B5" s="10">
        <v>267.89</v>
      </c>
      <c r="C5" s="10">
        <v>273.39999999999998</v>
      </c>
      <c r="D5" s="10">
        <v>267.89</v>
      </c>
      <c r="E5" s="10">
        <v>269.77</v>
      </c>
      <c r="F5" s="10">
        <v>269.51</v>
      </c>
      <c r="G5" s="11">
        <v>51204000</v>
      </c>
      <c r="H5" s="15">
        <f t="shared" si="0"/>
        <v>-1.3709796946791335E-3</v>
      </c>
      <c r="J5" s="155" t="s">
        <v>13</v>
      </c>
      <c r="K5" s="167">
        <f>_xlfn.VAR.S(H4:H16)</f>
        <v>1.1393457262140427E-4</v>
      </c>
      <c r="P5" s="181">
        <v>45967</v>
      </c>
      <c r="Q5" s="174">
        <v>6787.59</v>
      </c>
      <c r="R5" s="174">
        <v>6796.68</v>
      </c>
      <c r="S5" s="176">
        <v>6707.51</v>
      </c>
      <c r="T5" s="176">
        <v>6720.32</v>
      </c>
      <c r="U5" s="176">
        <v>6720.32</v>
      </c>
      <c r="V5" s="178">
        <v>6051900000</v>
      </c>
      <c r="W5" s="171">
        <f t="shared" ref="W5:W16" si="1">(U5-U4)/U4</f>
        <v>-1.1178157494750851E-2</v>
      </c>
    </row>
    <row r="6" spans="1:23" ht="15.5">
      <c r="A6" s="9">
        <v>45968</v>
      </c>
      <c r="B6" s="10">
        <v>269.8</v>
      </c>
      <c r="C6" s="10">
        <v>272.29000000000002</v>
      </c>
      <c r="D6" s="10">
        <v>266.77</v>
      </c>
      <c r="E6" s="10">
        <v>268.47000000000003</v>
      </c>
      <c r="F6" s="10">
        <v>268.20999999999998</v>
      </c>
      <c r="G6" s="11">
        <v>48227400</v>
      </c>
      <c r="H6" s="15">
        <f t="shared" si="0"/>
        <v>-4.8235686987496253E-3</v>
      </c>
      <c r="J6" s="155" t="s">
        <v>14</v>
      </c>
      <c r="K6" s="31">
        <f>K4/_xlfn.VAR.S(Return!E31:E43)</f>
        <v>0.60758846324518212</v>
      </c>
      <c r="P6" s="181">
        <v>45968</v>
      </c>
      <c r="Q6" s="174">
        <v>6696.18</v>
      </c>
      <c r="R6" s="174">
        <v>6730.11</v>
      </c>
      <c r="S6" s="176">
        <v>6631.44</v>
      </c>
      <c r="T6" s="176">
        <v>6728.8</v>
      </c>
      <c r="U6" s="176">
        <v>6728.8</v>
      </c>
      <c r="V6" s="178">
        <v>5926070000</v>
      </c>
      <c r="W6" s="170">
        <f t="shared" si="1"/>
        <v>1.2618446740632102E-3</v>
      </c>
    </row>
    <row r="7" spans="1:23" ht="15.5">
      <c r="A7" s="9">
        <v>45971</v>
      </c>
      <c r="B7" s="10">
        <v>268.95999999999998</v>
      </c>
      <c r="C7" s="10">
        <v>273.73</v>
      </c>
      <c r="D7" s="10">
        <v>267.45999999999998</v>
      </c>
      <c r="E7" s="10">
        <v>269.43</v>
      </c>
      <c r="F7" s="10">
        <v>269.43</v>
      </c>
      <c r="G7" s="11">
        <v>41312400</v>
      </c>
      <c r="H7" s="14">
        <f t="shared" si="0"/>
        <v>4.5486745460647533E-3</v>
      </c>
      <c r="J7" s="155" t="s">
        <v>15</v>
      </c>
      <c r="K7" s="165">
        <f>K2-(0.0002+K6*(AVERAGE($W$4:$W$16)-0.0002))</f>
        <v>1.6109145778665686E-3</v>
      </c>
      <c r="P7" s="181">
        <v>45971</v>
      </c>
      <c r="Q7" s="174">
        <v>6785.36</v>
      </c>
      <c r="R7" s="174">
        <v>6841.32</v>
      </c>
      <c r="S7" s="176">
        <v>6770.56</v>
      </c>
      <c r="T7" s="176">
        <v>6832.43</v>
      </c>
      <c r="U7" s="176">
        <v>6832.43</v>
      </c>
      <c r="V7" s="178">
        <v>5366050000</v>
      </c>
      <c r="W7" s="170">
        <f t="shared" si="1"/>
        <v>1.5400963024610645E-2</v>
      </c>
    </row>
    <row r="8" spans="1:23" ht="15.5">
      <c r="A8" s="9">
        <v>45972</v>
      </c>
      <c r="B8" s="10">
        <v>269.81</v>
      </c>
      <c r="C8" s="10">
        <v>275.91000000000003</v>
      </c>
      <c r="D8" s="10">
        <v>269.8</v>
      </c>
      <c r="E8" s="10">
        <v>275.25</v>
      </c>
      <c r="F8" s="10">
        <v>275.25</v>
      </c>
      <c r="G8" s="11">
        <v>46208300</v>
      </c>
      <c r="H8" s="14">
        <f t="shared" si="0"/>
        <v>2.1601158000222668E-2</v>
      </c>
      <c r="J8" s="155" t="s">
        <v>16</v>
      </c>
      <c r="K8" s="165">
        <f>(K2-0.0002)/K6</f>
        <v>5.5711995564477047E-4</v>
      </c>
      <c r="P8" s="181">
        <v>45972</v>
      </c>
      <c r="Q8" s="174">
        <v>6815.64</v>
      </c>
      <c r="R8" s="174">
        <v>6855.13</v>
      </c>
      <c r="S8" s="176">
        <v>6806.87</v>
      </c>
      <c r="T8" s="176">
        <v>6846.61</v>
      </c>
      <c r="U8" s="176">
        <v>6846.61</v>
      </c>
      <c r="V8" s="178">
        <v>4983490000</v>
      </c>
      <c r="W8" s="170">
        <f t="shared" si="1"/>
        <v>2.0753963084875191E-3</v>
      </c>
    </row>
    <row r="9" spans="1:23" ht="15.5">
      <c r="A9" s="9">
        <v>45973</v>
      </c>
      <c r="B9" s="10">
        <v>275</v>
      </c>
      <c r="C9" s="10">
        <v>275.73</v>
      </c>
      <c r="D9" s="10">
        <v>271.7</v>
      </c>
      <c r="E9" s="10">
        <v>273.47000000000003</v>
      </c>
      <c r="F9" s="10">
        <v>273.47000000000003</v>
      </c>
      <c r="G9" s="11">
        <v>48398000</v>
      </c>
      <c r="H9" s="15">
        <f t="shared" si="0"/>
        <v>-6.4668483197092563E-3</v>
      </c>
      <c r="J9" s="156" t="s">
        <v>17</v>
      </c>
      <c r="K9" s="166">
        <f>(K2-0.0002)/K3</f>
        <v>3.1712499256323037E-2</v>
      </c>
      <c r="P9" s="181">
        <v>45973</v>
      </c>
      <c r="Q9" s="174">
        <v>6867.77</v>
      </c>
      <c r="R9" s="174">
        <v>6869.91</v>
      </c>
      <c r="S9" s="176">
        <v>6829.62</v>
      </c>
      <c r="T9" s="176">
        <v>6850.92</v>
      </c>
      <c r="U9" s="176">
        <v>6850.92</v>
      </c>
      <c r="V9" s="178">
        <v>5293610000</v>
      </c>
      <c r="W9" s="170">
        <f t="shared" si="1"/>
        <v>6.2950861813370414E-4</v>
      </c>
    </row>
    <row r="10" spans="1:23" ht="15.5">
      <c r="A10" s="9">
        <v>45974</v>
      </c>
      <c r="B10" s="10">
        <v>274.11</v>
      </c>
      <c r="C10" s="10">
        <v>276.7</v>
      </c>
      <c r="D10" s="10">
        <v>272.08999999999997</v>
      </c>
      <c r="E10" s="10">
        <v>272.95</v>
      </c>
      <c r="F10" s="10">
        <v>272.95</v>
      </c>
      <c r="G10" s="11">
        <v>49602800</v>
      </c>
      <c r="H10" s="15">
        <f t="shared" si="0"/>
        <v>-1.9014882802502601E-3</v>
      </c>
      <c r="J10" s="157"/>
      <c r="K10" s="157"/>
      <c r="P10" s="181">
        <v>45974</v>
      </c>
      <c r="Q10" s="174">
        <v>6826.47</v>
      </c>
      <c r="R10" s="174">
        <v>6828.05</v>
      </c>
      <c r="S10" s="176">
        <v>6724.72</v>
      </c>
      <c r="T10" s="176">
        <v>6737.49</v>
      </c>
      <c r="U10" s="176">
        <v>6737.49</v>
      </c>
      <c r="V10" s="178">
        <v>5473720000</v>
      </c>
      <c r="W10" s="171">
        <f t="shared" si="1"/>
        <v>-1.6556900387101336E-2</v>
      </c>
    </row>
    <row r="11" spans="1:23" ht="15.5">
      <c r="A11" s="9">
        <v>45975</v>
      </c>
      <c r="B11" s="10">
        <v>271.05</v>
      </c>
      <c r="C11" s="10">
        <v>275.95999999999998</v>
      </c>
      <c r="D11" s="10">
        <v>269.60000000000002</v>
      </c>
      <c r="E11" s="10">
        <v>272.41000000000003</v>
      </c>
      <c r="F11" s="10">
        <v>272.41000000000003</v>
      </c>
      <c r="G11" s="11">
        <v>47431300</v>
      </c>
      <c r="H11" s="15">
        <f t="shared" si="0"/>
        <v>-1.9783843194722977E-3</v>
      </c>
      <c r="J11" s="157"/>
      <c r="K11" s="157"/>
      <c r="P11" s="181">
        <v>45975</v>
      </c>
      <c r="Q11" s="174">
        <v>6672.14</v>
      </c>
      <c r="R11" s="174">
        <v>6774.31</v>
      </c>
      <c r="S11" s="176">
        <v>6646.87</v>
      </c>
      <c r="T11" s="176">
        <v>6734.11</v>
      </c>
      <c r="U11" s="176">
        <v>6734.11</v>
      </c>
      <c r="V11" s="178">
        <v>5042660000</v>
      </c>
      <c r="W11" s="171">
        <f t="shared" si="1"/>
        <v>-5.0167050340707141E-4</v>
      </c>
    </row>
    <row r="12" spans="1:23" ht="15.5">
      <c r="A12" s="9">
        <v>45978</v>
      </c>
      <c r="B12" s="10">
        <v>268.82</v>
      </c>
      <c r="C12" s="10">
        <v>270.49</v>
      </c>
      <c r="D12" s="10">
        <v>265.73</v>
      </c>
      <c r="E12" s="10">
        <v>267.45999999999998</v>
      </c>
      <c r="F12" s="10">
        <v>267.45999999999998</v>
      </c>
      <c r="G12" s="11">
        <v>45018300</v>
      </c>
      <c r="H12" s="15">
        <f t="shared" si="0"/>
        <v>-1.8171139091810305E-2</v>
      </c>
      <c r="J12" s="157"/>
      <c r="K12" s="157"/>
      <c r="P12" s="181">
        <v>45978</v>
      </c>
      <c r="Q12" s="174">
        <v>6713.61</v>
      </c>
      <c r="R12" s="174">
        <v>6754.5</v>
      </c>
      <c r="S12" s="176">
        <v>6638.9</v>
      </c>
      <c r="T12" s="176">
        <v>6672.41</v>
      </c>
      <c r="U12" s="176">
        <v>6672.41</v>
      </c>
      <c r="V12" s="178">
        <v>5204220000</v>
      </c>
      <c r="W12" s="171">
        <f t="shared" si="1"/>
        <v>-9.1623094959838534E-3</v>
      </c>
    </row>
    <row r="13" spans="1:23" ht="15.5">
      <c r="A13" s="9">
        <v>45979</v>
      </c>
      <c r="B13" s="10">
        <v>269.99</v>
      </c>
      <c r="C13" s="10">
        <v>270.70999999999998</v>
      </c>
      <c r="D13" s="10">
        <v>265.32</v>
      </c>
      <c r="E13" s="10">
        <v>267.44</v>
      </c>
      <c r="F13" s="10">
        <v>267.44</v>
      </c>
      <c r="G13" s="11">
        <v>45677300</v>
      </c>
      <c r="H13" s="15">
        <f t="shared" si="0"/>
        <v>-7.477753682786888E-5</v>
      </c>
      <c r="J13" s="157"/>
      <c r="K13" s="157"/>
      <c r="P13" s="181">
        <v>45979</v>
      </c>
      <c r="Q13" s="174">
        <v>6641.19</v>
      </c>
      <c r="R13" s="174">
        <v>6666.63</v>
      </c>
      <c r="S13" s="176">
        <v>6574.32</v>
      </c>
      <c r="T13" s="176">
        <v>6617.32</v>
      </c>
      <c r="U13" s="176">
        <v>6617.32</v>
      </c>
      <c r="V13" s="178">
        <v>5159390000</v>
      </c>
      <c r="W13" s="171">
        <f t="shared" si="1"/>
        <v>-8.2563871224939928E-3</v>
      </c>
    </row>
    <row r="14" spans="1:23" ht="15.5">
      <c r="A14" s="9">
        <v>45980</v>
      </c>
      <c r="B14" s="10">
        <v>265.52999999999997</v>
      </c>
      <c r="C14" s="10">
        <v>272.20999999999998</v>
      </c>
      <c r="D14" s="10">
        <v>265.5</v>
      </c>
      <c r="E14" s="10">
        <v>268.56</v>
      </c>
      <c r="F14" s="10">
        <v>268.56</v>
      </c>
      <c r="G14" s="11">
        <v>40424500</v>
      </c>
      <c r="H14" s="14">
        <f t="shared" si="0"/>
        <v>4.1878552198624163E-3</v>
      </c>
      <c r="J14" s="157"/>
      <c r="K14" s="157"/>
      <c r="P14" s="181">
        <v>45980</v>
      </c>
      <c r="Q14" s="174">
        <v>6625.84</v>
      </c>
      <c r="R14" s="174">
        <v>6689.75</v>
      </c>
      <c r="S14" s="176">
        <v>6603.5</v>
      </c>
      <c r="T14" s="176">
        <v>6642.16</v>
      </c>
      <c r="U14" s="176">
        <v>6642.16</v>
      </c>
      <c r="V14" s="178">
        <v>5021610000</v>
      </c>
      <c r="W14" s="170">
        <f t="shared" si="1"/>
        <v>3.753785520422187E-3</v>
      </c>
    </row>
    <row r="15" spans="1:23" ht="15.5">
      <c r="A15" s="9">
        <v>45981</v>
      </c>
      <c r="B15" s="10">
        <v>270.83</v>
      </c>
      <c r="C15" s="10">
        <v>275.43</v>
      </c>
      <c r="D15" s="10">
        <v>265.92</v>
      </c>
      <c r="E15" s="10">
        <v>266.25</v>
      </c>
      <c r="F15" s="10">
        <v>266.25</v>
      </c>
      <c r="G15" s="11">
        <v>45823600</v>
      </c>
      <c r="H15" s="15">
        <f t="shared" si="0"/>
        <v>-8.6014298480786497E-3</v>
      </c>
      <c r="J15" s="157"/>
      <c r="K15" s="157"/>
      <c r="P15" s="181">
        <v>45981</v>
      </c>
      <c r="Q15" s="174">
        <v>6737.93</v>
      </c>
      <c r="R15" s="174">
        <v>6770.35</v>
      </c>
      <c r="S15" s="176">
        <v>6534.05</v>
      </c>
      <c r="T15" s="176">
        <v>6538.76</v>
      </c>
      <c r="U15" s="176">
        <v>6538.76</v>
      </c>
      <c r="V15" s="178">
        <v>5596080000</v>
      </c>
      <c r="W15" s="171">
        <f t="shared" si="1"/>
        <v>-1.5567225119539372E-2</v>
      </c>
    </row>
    <row r="16" spans="1:23" ht="15.5">
      <c r="A16" s="99">
        <v>45982</v>
      </c>
      <c r="B16" s="100">
        <v>265.95</v>
      </c>
      <c r="C16" s="100">
        <v>273.33</v>
      </c>
      <c r="D16" s="100">
        <v>265.67</v>
      </c>
      <c r="E16" s="100">
        <v>271.49</v>
      </c>
      <c r="F16" s="100">
        <v>271.49</v>
      </c>
      <c r="G16" s="101">
        <v>59030800</v>
      </c>
      <c r="H16" s="102">
        <f t="shared" si="0"/>
        <v>1.9680751173708953E-2</v>
      </c>
      <c r="J16" s="157"/>
      <c r="K16" s="157"/>
      <c r="P16" s="182">
        <v>45982</v>
      </c>
      <c r="Q16" s="183">
        <v>6555.77</v>
      </c>
      <c r="R16" s="183">
        <v>6660.05</v>
      </c>
      <c r="S16" s="184">
        <v>6521.92</v>
      </c>
      <c r="T16" s="184">
        <v>6602.99</v>
      </c>
      <c r="U16" s="184">
        <v>6602.99</v>
      </c>
      <c r="V16" s="185">
        <v>5929930000</v>
      </c>
      <c r="W16" s="172">
        <f t="shared" si="1"/>
        <v>9.8229633753188009E-3</v>
      </c>
    </row>
    <row r="17" spans="1:22">
      <c r="J17" s="157"/>
      <c r="K17" s="157"/>
    </row>
    <row r="18" spans="1:22" ht="16" thickBot="1">
      <c r="J18" s="157"/>
      <c r="K18" s="157"/>
      <c r="P18" s="151"/>
      <c r="Q18" s="152"/>
      <c r="R18" s="152"/>
      <c r="S18" s="152"/>
      <c r="T18" s="152"/>
      <c r="U18" s="152"/>
      <c r="V18" s="153"/>
    </row>
    <row r="19" spans="1:22" ht="16" thickBot="1">
      <c r="A19" s="222" t="s">
        <v>18</v>
      </c>
      <c r="B19" s="223"/>
      <c r="C19" s="223"/>
      <c r="D19" s="223"/>
      <c r="E19" s="223"/>
      <c r="F19" s="223"/>
      <c r="G19" s="223"/>
      <c r="H19" s="224"/>
      <c r="J19" s="225" t="s">
        <v>19</v>
      </c>
      <c r="K19" s="226"/>
    </row>
    <row r="20" spans="1:22" ht="15.5">
      <c r="A20" s="1" t="s">
        <v>1</v>
      </c>
      <c r="B20" s="1" t="s">
        <v>2</v>
      </c>
      <c r="C20" s="1" t="s">
        <v>3</v>
      </c>
      <c r="D20" s="1" t="s">
        <v>4</v>
      </c>
      <c r="E20" s="1" t="s">
        <v>5</v>
      </c>
      <c r="F20" s="1" t="s">
        <v>6</v>
      </c>
      <c r="G20" s="1" t="s">
        <v>7</v>
      </c>
      <c r="H20" s="1" t="s">
        <v>20</v>
      </c>
      <c r="J20" s="154" t="s">
        <v>9</v>
      </c>
      <c r="K20" s="165">
        <f>AVERAGE(H22:H24)</f>
        <v>-2.6481888703804982E-3</v>
      </c>
    </row>
    <row r="21" spans="1:22" ht="15.5">
      <c r="A21" s="17">
        <v>45979</v>
      </c>
      <c r="B21" s="16">
        <v>228.1</v>
      </c>
      <c r="C21" s="16">
        <v>230.2</v>
      </c>
      <c r="D21" s="16">
        <v>222.42</v>
      </c>
      <c r="E21" s="16">
        <v>222.55</v>
      </c>
      <c r="F21" s="16">
        <v>222.55</v>
      </c>
      <c r="G21" s="18">
        <v>60608400</v>
      </c>
      <c r="H21" s="19" t="s">
        <v>10</v>
      </c>
      <c r="J21" s="155" t="s">
        <v>11</v>
      </c>
      <c r="K21" s="31">
        <f>STDEV(H22:H24)</f>
        <v>2.0829983572936035E-2</v>
      </c>
    </row>
    <row r="22" spans="1:22" ht="15.5">
      <c r="A22" s="17">
        <v>45980</v>
      </c>
      <c r="B22" s="16">
        <v>223.74</v>
      </c>
      <c r="C22" s="16">
        <v>223.74</v>
      </c>
      <c r="D22" s="16">
        <v>218.52</v>
      </c>
      <c r="E22" s="16">
        <v>222.69</v>
      </c>
      <c r="F22" s="16">
        <v>222.69</v>
      </c>
      <c r="G22" s="18">
        <v>58335600</v>
      </c>
      <c r="H22" s="20">
        <f>(F22-F21)/F21</f>
        <v>6.2907211862496678E-4</v>
      </c>
      <c r="J22" s="155" t="s">
        <v>12</v>
      </c>
      <c r="K22" s="167">
        <f>_xlfn.COVARIANCE.S(H22:H24,W14:W16)</f>
        <v>2.7282982231962725E-4</v>
      </c>
    </row>
    <row r="23" spans="1:22" ht="15.5">
      <c r="A23" s="17">
        <v>45981</v>
      </c>
      <c r="B23" s="16">
        <v>227.05</v>
      </c>
      <c r="C23" s="16">
        <v>227.41</v>
      </c>
      <c r="D23" s="16">
        <v>216.74</v>
      </c>
      <c r="E23" s="16">
        <v>217.14</v>
      </c>
      <c r="F23" s="16">
        <v>217.14</v>
      </c>
      <c r="G23" s="18">
        <v>50309000</v>
      </c>
      <c r="H23" s="21">
        <f t="shared" ref="H23:H24" si="2">(F23-F22)/F22</f>
        <v>-2.4922538057389247E-2</v>
      </c>
      <c r="J23" s="155" t="s">
        <v>13</v>
      </c>
      <c r="K23" s="167">
        <f>_xlfn.VAR.S(H22:H24)</f>
        <v>4.3388821564878502E-4</v>
      </c>
    </row>
    <row r="24" spans="1:22" ht="15.5">
      <c r="A24" s="26">
        <v>45982</v>
      </c>
      <c r="B24" s="27">
        <v>216.35</v>
      </c>
      <c r="C24" s="27">
        <v>222.21</v>
      </c>
      <c r="D24" s="27">
        <v>215.18</v>
      </c>
      <c r="E24" s="27">
        <v>220.69</v>
      </c>
      <c r="F24" s="27">
        <v>220.69</v>
      </c>
      <c r="G24" s="28">
        <v>68490500</v>
      </c>
      <c r="H24" s="24">
        <f t="shared" si="2"/>
        <v>1.6348899327622787E-2</v>
      </c>
      <c r="J24" s="155" t="s">
        <v>14</v>
      </c>
      <c r="K24" s="31">
        <f>K22/_xlfn.VAR.S(Return!E41:E43)</f>
        <v>1.5519358834213981</v>
      </c>
    </row>
    <row r="25" spans="1:22" ht="15.5">
      <c r="A25" s="103"/>
      <c r="B25" s="104"/>
      <c r="C25" s="104"/>
      <c r="D25" s="104"/>
      <c r="E25" s="104"/>
      <c r="F25" s="104"/>
      <c r="G25" s="105"/>
      <c r="H25" s="106"/>
      <c r="J25" s="155" t="s">
        <v>15</v>
      </c>
      <c r="K25" s="165">
        <f>K20-(0.0002+K24*(AVERAGE(W4:W16)-0.0002))</f>
        <v>4.0188332926330544E-4</v>
      </c>
    </row>
    <row r="26" spans="1:22" ht="15.5">
      <c r="A26" s="103"/>
      <c r="B26" s="104"/>
      <c r="C26" s="104"/>
      <c r="D26" s="104"/>
      <c r="E26" s="104"/>
      <c r="F26" s="104"/>
      <c r="G26" s="105"/>
      <c r="H26" s="106"/>
      <c r="J26" s="155" t="s">
        <v>16</v>
      </c>
      <c r="K26" s="165">
        <f>(K20-0.0002)/K24</f>
        <v>-1.8352490594530108E-3</v>
      </c>
    </row>
    <row r="27" spans="1:22" ht="15.5">
      <c r="A27" s="103"/>
      <c r="B27" s="104"/>
      <c r="C27" s="104"/>
      <c r="D27" s="104"/>
      <c r="E27" s="104"/>
      <c r="F27" s="104"/>
      <c r="G27" s="105"/>
      <c r="H27" s="106"/>
      <c r="J27" s="156" t="s">
        <v>17</v>
      </c>
      <c r="K27" s="168">
        <f>(K20-0.002)/K21</f>
        <v>-0.22314894556228998</v>
      </c>
    </row>
    <row r="28" spans="1:22">
      <c r="J28" s="157"/>
      <c r="K28" s="157"/>
    </row>
    <row r="29" spans="1:22">
      <c r="J29" s="157"/>
      <c r="K29" s="157"/>
    </row>
    <row r="30" spans="1:22" ht="16" thickBot="1">
      <c r="A30" s="227" t="s">
        <v>21</v>
      </c>
      <c r="B30" s="228"/>
      <c r="C30" s="228"/>
      <c r="D30" s="228"/>
      <c r="E30" s="228"/>
      <c r="F30" s="228"/>
      <c r="G30" s="228"/>
      <c r="H30" s="229"/>
      <c r="J30" s="225" t="s">
        <v>21</v>
      </c>
      <c r="K30" s="226"/>
    </row>
    <row r="31" spans="1:22" ht="15.5">
      <c r="A31" s="7" t="s">
        <v>1</v>
      </c>
      <c r="B31" s="7" t="s">
        <v>2</v>
      </c>
      <c r="C31" s="7" t="s">
        <v>3</v>
      </c>
      <c r="D31" s="7" t="s">
        <v>4</v>
      </c>
      <c r="E31" s="7" t="s">
        <v>5</v>
      </c>
      <c r="F31" s="7" t="s">
        <v>6</v>
      </c>
      <c r="G31" s="7" t="s">
        <v>7</v>
      </c>
      <c r="H31" s="7" t="s">
        <v>20</v>
      </c>
      <c r="J31" s="154" t="s">
        <v>9</v>
      </c>
      <c r="K31" s="165">
        <f>AVERAGE(H33:H45)</f>
        <v>-1.6910385970026745E-3</v>
      </c>
    </row>
    <row r="32" spans="1:22" ht="15.5">
      <c r="A32" s="107">
        <v>45965</v>
      </c>
      <c r="B32" s="10">
        <v>241.79</v>
      </c>
      <c r="C32" s="10">
        <v>244.06</v>
      </c>
      <c r="D32" s="10">
        <v>241</v>
      </c>
      <c r="E32" s="10">
        <v>241.2</v>
      </c>
      <c r="F32" s="10">
        <v>241.2</v>
      </c>
      <c r="G32" s="148">
        <v>34468700</v>
      </c>
      <c r="H32" s="12" t="s">
        <v>10</v>
      </c>
      <c r="J32" s="155" t="s">
        <v>11</v>
      </c>
      <c r="K32" s="31">
        <f>STDEV(H33:H45)</f>
        <v>1.5724118154625679E-2</v>
      </c>
    </row>
    <row r="33" spans="1:11" ht="15.5">
      <c r="A33" s="107">
        <v>45966</v>
      </c>
      <c r="B33" s="10">
        <v>241.96</v>
      </c>
      <c r="C33" s="10">
        <v>245.73</v>
      </c>
      <c r="D33" s="10">
        <v>241.64</v>
      </c>
      <c r="E33" s="10">
        <v>244.68</v>
      </c>
      <c r="F33" s="10">
        <v>244.68</v>
      </c>
      <c r="G33" s="148">
        <v>38229200</v>
      </c>
      <c r="H33" s="14">
        <f>(F33-F32)/F32</f>
        <v>1.4427860696517488E-2</v>
      </c>
      <c r="J33" s="155" t="s">
        <v>12</v>
      </c>
      <c r="K33" s="167">
        <f>_xlfn.COVARIANCE.S(H33:H45,$W$4:$W$16)</f>
        <v>1.2972223177912701E-4</v>
      </c>
    </row>
    <row r="34" spans="1:11" ht="15.5">
      <c r="A34" s="107">
        <v>45967</v>
      </c>
      <c r="B34" s="10">
        <v>244.26</v>
      </c>
      <c r="C34" s="10">
        <v>244.79</v>
      </c>
      <c r="D34" s="10">
        <v>240</v>
      </c>
      <c r="E34" s="10">
        <v>240.35</v>
      </c>
      <c r="F34" s="10">
        <v>240.35</v>
      </c>
      <c r="G34" s="148">
        <v>40601200</v>
      </c>
      <c r="H34" s="15">
        <f t="shared" ref="H34:H45" si="3">(F34-F33)/F33</f>
        <v>-1.7696583292463677E-2</v>
      </c>
      <c r="J34" s="155" t="s">
        <v>13</v>
      </c>
      <c r="K34" s="167">
        <f>_xlfn.VAR.S(H33:H45)</f>
        <v>2.472478917406289E-4</v>
      </c>
    </row>
    <row r="35" spans="1:11" ht="15.5">
      <c r="A35" s="107">
        <v>45968</v>
      </c>
      <c r="B35" s="10">
        <v>238.41</v>
      </c>
      <c r="C35" s="10">
        <v>241.66</v>
      </c>
      <c r="D35" s="10">
        <v>236.27</v>
      </c>
      <c r="E35" s="10">
        <v>241.61</v>
      </c>
      <c r="F35" s="10">
        <v>241.61</v>
      </c>
      <c r="G35" s="148">
        <v>54978900</v>
      </c>
      <c r="H35" s="14">
        <f t="shared" si="3"/>
        <v>5.2423548991055516E-3</v>
      </c>
      <c r="J35" s="155" t="s">
        <v>14</v>
      </c>
      <c r="K35" s="31">
        <f>K33/_xlfn.VAR.S(Return!E31:E43)</f>
        <v>1.3966658673723686</v>
      </c>
    </row>
    <row r="36" spans="1:11" ht="15.5">
      <c r="A36" s="107">
        <v>45971</v>
      </c>
      <c r="B36" s="10">
        <v>245.01</v>
      </c>
      <c r="C36" s="10">
        <v>245.24</v>
      </c>
      <c r="D36" s="10">
        <v>242.25</v>
      </c>
      <c r="E36" s="10">
        <v>244.03</v>
      </c>
      <c r="F36" s="10">
        <v>244.03</v>
      </c>
      <c r="G36" s="149">
        <v>31238000</v>
      </c>
      <c r="H36" s="14">
        <f t="shared" si="3"/>
        <v>1.0016141715988525E-2</v>
      </c>
      <c r="J36" s="155" t="s">
        <v>15</v>
      </c>
      <c r="K36" s="165">
        <f>K31-(0.0002+K35*(AVERAGE($W$4:$W$16)-0.0002))</f>
        <v>1.0338663273754324E-3</v>
      </c>
    </row>
    <row r="37" spans="1:11" ht="15.5">
      <c r="A37" s="107">
        <v>45972</v>
      </c>
      <c r="B37" s="10">
        <v>243.37</v>
      </c>
      <c r="C37" s="10">
        <v>244.74</v>
      </c>
      <c r="D37" s="10">
        <v>242.52</v>
      </c>
      <c r="E37" s="10">
        <v>244.24</v>
      </c>
      <c r="F37" s="10">
        <v>244.24</v>
      </c>
      <c r="G37" s="149">
        <v>27357900</v>
      </c>
      <c r="H37" s="14">
        <f t="shared" si="3"/>
        <v>8.6054993238539508E-4</v>
      </c>
      <c r="J37" s="155" t="s">
        <v>16</v>
      </c>
      <c r="K37" s="165">
        <f>(K31-0.0002)/K35</f>
        <v>-1.353966357436943E-3</v>
      </c>
    </row>
    <row r="38" spans="1:11" ht="15.5">
      <c r="A38" s="107">
        <v>45973</v>
      </c>
      <c r="B38" s="10">
        <v>244.84</v>
      </c>
      <c r="C38" s="10">
        <v>246.38</v>
      </c>
      <c r="D38" s="10">
        <v>243.33</v>
      </c>
      <c r="E38" s="10">
        <v>243.64</v>
      </c>
      <c r="F38" s="10">
        <v>243.64</v>
      </c>
      <c r="G38" s="148">
        <v>35543200</v>
      </c>
      <c r="H38" s="15">
        <f t="shared" si="3"/>
        <v>-2.4566000655094279E-3</v>
      </c>
      <c r="J38" s="156" t="s">
        <v>17</v>
      </c>
      <c r="K38" s="166">
        <f>(K31-0.0002)/K32</f>
        <v>-0.12026357080294349</v>
      </c>
    </row>
    <row r="39" spans="1:11" ht="15.5">
      <c r="A39" s="107">
        <v>45974</v>
      </c>
      <c r="B39" s="10">
        <v>241.84</v>
      </c>
      <c r="C39" s="10">
        <v>242.68</v>
      </c>
      <c r="D39" s="10">
        <v>235.84</v>
      </c>
      <c r="E39" s="10">
        <v>236.79</v>
      </c>
      <c r="F39" s="10">
        <v>236.79</v>
      </c>
      <c r="G39" s="148">
        <v>65710000</v>
      </c>
      <c r="H39" s="15">
        <f t="shared" si="3"/>
        <v>-2.811525201116399E-2</v>
      </c>
      <c r="J39" s="157"/>
      <c r="K39" s="157"/>
    </row>
    <row r="40" spans="1:11" ht="15.5">
      <c r="A40" s="107">
        <v>45975</v>
      </c>
      <c r="B40" s="10">
        <v>233.34</v>
      </c>
      <c r="C40" s="10">
        <v>238.73</v>
      </c>
      <c r="D40" s="10">
        <v>233.27</v>
      </c>
      <c r="E40" s="10">
        <v>237.48</v>
      </c>
      <c r="F40" s="10">
        <v>237.48</v>
      </c>
      <c r="G40" s="148">
        <v>58344400</v>
      </c>
      <c r="H40" s="14">
        <f t="shared" si="3"/>
        <v>2.9139744077030186E-3</v>
      </c>
      <c r="J40" s="157"/>
      <c r="K40" s="157"/>
    </row>
    <row r="41" spans="1:11" ht="15.5">
      <c r="A41" s="107">
        <v>45978</v>
      </c>
      <c r="B41" s="10">
        <v>236.46</v>
      </c>
      <c r="C41" s="10">
        <v>237.84</v>
      </c>
      <c r="D41" s="10">
        <v>231.76</v>
      </c>
      <c r="E41" s="10">
        <v>232.76</v>
      </c>
      <c r="F41" s="10">
        <v>232.76</v>
      </c>
      <c r="G41" s="148">
        <v>55765900</v>
      </c>
      <c r="H41" s="15">
        <f t="shared" si="3"/>
        <v>-1.9875357924877879E-2</v>
      </c>
      <c r="J41" s="157"/>
      <c r="K41" s="157"/>
    </row>
    <row r="42" spans="1:11" ht="15.5">
      <c r="A42" s="107">
        <v>45979</v>
      </c>
      <c r="B42" s="10">
        <v>231.31</v>
      </c>
      <c r="C42" s="10">
        <v>235.08</v>
      </c>
      <c r="D42" s="10">
        <v>230.96</v>
      </c>
      <c r="E42" s="10">
        <v>233.47</v>
      </c>
      <c r="F42" s="10">
        <v>233.47</v>
      </c>
      <c r="G42" s="148">
        <v>63092500</v>
      </c>
      <c r="H42" s="14">
        <f t="shared" si="3"/>
        <v>3.0503522942086614E-3</v>
      </c>
      <c r="J42" s="157"/>
      <c r="K42" s="157"/>
    </row>
    <row r="43" spans="1:11" ht="15.5">
      <c r="A43" s="107">
        <v>45980</v>
      </c>
      <c r="B43" s="10">
        <v>233.8</v>
      </c>
      <c r="C43" s="10">
        <v>236.37</v>
      </c>
      <c r="D43" s="10">
        <v>232.43</v>
      </c>
      <c r="E43" s="10">
        <v>233.43</v>
      </c>
      <c r="F43" s="10">
        <v>233.43</v>
      </c>
      <c r="G43" s="148">
        <v>57280500</v>
      </c>
      <c r="H43" s="15">
        <f t="shared" si="3"/>
        <v>-1.7132822204134169E-4</v>
      </c>
      <c r="J43" s="157"/>
      <c r="K43" s="157"/>
    </row>
    <row r="44" spans="1:11" ht="15.5">
      <c r="A44" s="107">
        <v>45981</v>
      </c>
      <c r="B44" s="10">
        <v>237.24</v>
      </c>
      <c r="C44" s="10">
        <v>239.1</v>
      </c>
      <c r="D44" s="10">
        <v>228.9</v>
      </c>
      <c r="E44" s="10">
        <v>229.11</v>
      </c>
      <c r="F44" s="10">
        <v>229.11</v>
      </c>
      <c r="G44" s="148">
        <v>95483000</v>
      </c>
      <c r="H44" s="15">
        <f t="shared" si="3"/>
        <v>-1.8506618686544116E-2</v>
      </c>
      <c r="J44" s="157"/>
      <c r="K44" s="157"/>
    </row>
    <row r="45" spans="1:11" ht="15.5">
      <c r="A45" s="108">
        <v>45982</v>
      </c>
      <c r="B45" s="100">
        <v>229.96</v>
      </c>
      <c r="C45" s="100">
        <v>237.11</v>
      </c>
      <c r="D45" s="100">
        <v>229.58</v>
      </c>
      <c r="E45" s="100">
        <v>235.6</v>
      </c>
      <c r="F45" s="100">
        <v>235.6</v>
      </c>
      <c r="G45" s="150">
        <v>99504100</v>
      </c>
      <c r="H45" s="102">
        <f t="shared" si="3"/>
        <v>2.8327004495657022E-2</v>
      </c>
      <c r="J45" s="157"/>
      <c r="K45" s="157"/>
    </row>
    <row r="46" spans="1:11">
      <c r="J46" s="157"/>
      <c r="K46" s="157"/>
    </row>
    <row r="47" spans="1:11">
      <c r="J47" s="157"/>
      <c r="K47" s="157"/>
    </row>
    <row r="48" spans="1:11" ht="15.5">
      <c r="A48" s="222" t="s">
        <v>22</v>
      </c>
      <c r="B48" s="223"/>
      <c r="C48" s="223"/>
      <c r="D48" s="223"/>
      <c r="E48" s="223"/>
      <c r="F48" s="223"/>
      <c r="G48" s="223"/>
      <c r="H48" s="224"/>
      <c r="J48" s="225" t="s">
        <v>22</v>
      </c>
      <c r="K48" s="226"/>
    </row>
    <row r="49" spans="1:11" ht="15.5">
      <c r="A49" s="1" t="s">
        <v>1</v>
      </c>
      <c r="B49" s="1" t="s">
        <v>2</v>
      </c>
      <c r="C49" s="1" t="s">
        <v>3</v>
      </c>
      <c r="D49" s="1" t="s">
        <v>4</v>
      </c>
      <c r="E49" s="1" t="s">
        <v>5</v>
      </c>
      <c r="F49" s="1" t="s">
        <v>6</v>
      </c>
      <c r="G49" s="1" t="s">
        <v>7</v>
      </c>
      <c r="H49" s="1" t="s">
        <v>20</v>
      </c>
      <c r="J49" s="154" t="s">
        <v>9</v>
      </c>
      <c r="K49" s="165">
        <f>AVERAGE(H51:H60)</f>
        <v>3.3939533978067961E-3</v>
      </c>
    </row>
    <row r="50" spans="1:11" ht="15.5">
      <c r="A50" s="17">
        <v>45968</v>
      </c>
      <c r="B50" s="16">
        <v>69.81</v>
      </c>
      <c r="C50" s="16">
        <v>70.87</v>
      </c>
      <c r="D50" s="16">
        <v>69.41</v>
      </c>
      <c r="E50" s="16">
        <v>70.55</v>
      </c>
      <c r="F50" s="16">
        <v>70.55</v>
      </c>
      <c r="G50" s="18">
        <v>25108300</v>
      </c>
      <c r="H50" s="19" t="s">
        <v>10</v>
      </c>
      <c r="J50" s="155" t="s">
        <v>11</v>
      </c>
      <c r="K50" s="31">
        <f>STDEV(H51:H60)</f>
        <v>9.8353274808531226E-3</v>
      </c>
    </row>
    <row r="51" spans="1:11" ht="15.5">
      <c r="A51" s="17">
        <v>45971</v>
      </c>
      <c r="B51" s="16">
        <v>70.010000000000005</v>
      </c>
      <c r="C51" s="16">
        <v>70.66</v>
      </c>
      <c r="D51" s="16">
        <v>69.44</v>
      </c>
      <c r="E51" s="16">
        <v>70.52</v>
      </c>
      <c r="F51" s="16">
        <v>70.52</v>
      </c>
      <c r="G51" s="18">
        <v>15318000</v>
      </c>
      <c r="H51" s="21">
        <f t="shared" ref="H51:H60" si="4">(F51-F50)/F50</f>
        <v>-4.2523033309711041E-4</v>
      </c>
      <c r="J51" s="155" t="s">
        <v>12</v>
      </c>
      <c r="K51" s="167">
        <f>_xlfn.COVARIANCE.S(H51:H60,W7:W16)</f>
        <v>4.4362784672374135E-5</v>
      </c>
    </row>
    <row r="52" spans="1:11" ht="15.5">
      <c r="A52" s="17">
        <v>45972</v>
      </c>
      <c r="B52" s="16">
        <v>70.98</v>
      </c>
      <c r="C52" s="16">
        <v>71.75</v>
      </c>
      <c r="D52" s="16">
        <v>70.66</v>
      </c>
      <c r="E52" s="16">
        <v>71.61</v>
      </c>
      <c r="F52" s="16">
        <v>71.61</v>
      </c>
      <c r="G52" s="18">
        <v>16160200</v>
      </c>
      <c r="H52" s="20">
        <f t="shared" si="4"/>
        <v>1.5456608054452687E-2</v>
      </c>
      <c r="J52" s="155" t="s">
        <v>13</v>
      </c>
      <c r="K52" s="167">
        <f>_xlfn.VAR.S(H51:H60)</f>
        <v>9.6733666655624622E-5</v>
      </c>
    </row>
    <row r="53" spans="1:11" ht="15.5">
      <c r="A53" s="17">
        <v>45973</v>
      </c>
      <c r="B53" s="16">
        <v>71.489999999999995</v>
      </c>
      <c r="C53" s="16">
        <v>71.89</v>
      </c>
      <c r="D53" s="16">
        <v>71.34</v>
      </c>
      <c r="E53" s="16">
        <v>71.510000000000005</v>
      </c>
      <c r="F53" s="16">
        <v>71.510000000000005</v>
      </c>
      <c r="G53" s="18">
        <v>13612600</v>
      </c>
      <c r="H53" s="21">
        <f t="shared" si="4"/>
        <v>-1.3964530093561558E-3</v>
      </c>
      <c r="J53" s="155" t="s">
        <v>14</v>
      </c>
      <c r="K53" s="31">
        <f>K51/_xlfn.VAR.S(Return!E34:E43)</f>
        <v>0.40427981138643859</v>
      </c>
    </row>
    <row r="54" spans="1:11" ht="15.5">
      <c r="A54" s="17">
        <v>45974</v>
      </c>
      <c r="B54" s="16">
        <v>71.42</v>
      </c>
      <c r="C54" s="16">
        <v>71.67</v>
      </c>
      <c r="D54" s="16">
        <v>71</v>
      </c>
      <c r="E54" s="16">
        <v>71.069999999999993</v>
      </c>
      <c r="F54" s="16">
        <v>71.069999999999993</v>
      </c>
      <c r="G54" s="18">
        <v>14002800</v>
      </c>
      <c r="H54" s="21">
        <f t="shared" si="4"/>
        <v>-6.152985596420248E-3</v>
      </c>
      <c r="J54" s="155" t="s">
        <v>15</v>
      </c>
      <c r="K54" s="165">
        <f>K49-(0.0002+K53*(AVERAGE(W7:W16)-0.0002))</f>
        <v>4.0171429278508209E-3</v>
      </c>
    </row>
    <row r="55" spans="1:11" ht="15.5">
      <c r="A55" s="17">
        <v>45975</v>
      </c>
      <c r="B55" s="16">
        <v>71.41</v>
      </c>
      <c r="C55" s="16">
        <v>71.64</v>
      </c>
      <c r="D55" s="16">
        <v>70.599999999999994</v>
      </c>
      <c r="E55" s="16">
        <v>71.16</v>
      </c>
      <c r="F55" s="16">
        <v>71.16</v>
      </c>
      <c r="G55" s="18">
        <v>13172000</v>
      </c>
      <c r="H55" s="20">
        <f t="shared" si="4"/>
        <v>1.2663571127058311E-3</v>
      </c>
      <c r="J55" s="155" t="s">
        <v>16</v>
      </c>
      <c r="K55" s="165">
        <f>(K49-0.0002)/K53</f>
        <v>7.9003534380147275E-3</v>
      </c>
    </row>
    <row r="56" spans="1:11" ht="15.5">
      <c r="A56" s="17">
        <v>45978</v>
      </c>
      <c r="B56" s="16">
        <v>71.2</v>
      </c>
      <c r="C56" s="16">
        <v>71.53</v>
      </c>
      <c r="D56" s="16">
        <v>70.62</v>
      </c>
      <c r="E56" s="16">
        <v>70.680000000000007</v>
      </c>
      <c r="F56" s="16">
        <v>70.680000000000007</v>
      </c>
      <c r="G56" s="18">
        <v>14772300</v>
      </c>
      <c r="H56" s="21">
        <f t="shared" si="4"/>
        <v>-6.7453625632376306E-3</v>
      </c>
      <c r="J56" s="156" t="s">
        <v>17</v>
      </c>
      <c r="K56" s="166">
        <f>(K49-0.0002)/K50</f>
        <v>0.32474296397599467</v>
      </c>
    </row>
    <row r="57" spans="1:11" ht="15.5">
      <c r="A57" s="17">
        <v>45979</v>
      </c>
      <c r="B57" s="16">
        <v>70.989999999999995</v>
      </c>
      <c r="C57" s="16">
        <v>71.34</v>
      </c>
      <c r="D57" s="16">
        <v>70.569999999999993</v>
      </c>
      <c r="E57" s="16">
        <v>71.22</v>
      </c>
      <c r="F57" s="16">
        <v>71.22</v>
      </c>
      <c r="G57" s="18">
        <v>12838900</v>
      </c>
      <c r="H57" s="20">
        <f t="shared" si="4"/>
        <v>7.6400679117146573E-3</v>
      </c>
      <c r="J57" s="157"/>
      <c r="K57" s="157"/>
    </row>
    <row r="58" spans="1:11" ht="15.5">
      <c r="A58" s="17">
        <v>45980</v>
      </c>
      <c r="B58" s="16">
        <v>71.2</v>
      </c>
      <c r="C58" s="16">
        <v>71.45</v>
      </c>
      <c r="D58" s="16">
        <v>70.81</v>
      </c>
      <c r="E58" s="16">
        <v>71.11</v>
      </c>
      <c r="F58" s="16">
        <v>71.11</v>
      </c>
      <c r="G58" s="18">
        <v>12401500</v>
      </c>
      <c r="H58" s="21">
        <f t="shared" si="4"/>
        <v>-1.5445099691097927E-3</v>
      </c>
      <c r="J58" s="157"/>
      <c r="K58" s="157"/>
    </row>
    <row r="59" spans="1:11" ht="15.5">
      <c r="A59" s="17">
        <v>45981</v>
      </c>
      <c r="B59" s="16">
        <v>70.95</v>
      </c>
      <c r="C59" s="16">
        <v>71.48</v>
      </c>
      <c r="D59" s="16">
        <v>70.61</v>
      </c>
      <c r="E59" s="16">
        <v>71.209999999999994</v>
      </c>
      <c r="F59" s="16">
        <v>71.209999999999994</v>
      </c>
      <c r="G59" s="18">
        <v>15396500</v>
      </c>
      <c r="H59" s="20">
        <f t="shared" si="4"/>
        <v>1.4062719729994982E-3</v>
      </c>
      <c r="J59" s="157"/>
      <c r="K59" s="157"/>
    </row>
    <row r="60" spans="1:11" ht="15.5">
      <c r="A60" s="26">
        <v>45982</v>
      </c>
      <c r="B60" s="27">
        <v>71.680000000000007</v>
      </c>
      <c r="C60" s="27">
        <v>73.19</v>
      </c>
      <c r="D60" s="27">
        <v>71.489999999999995</v>
      </c>
      <c r="E60" s="27">
        <v>72.95</v>
      </c>
      <c r="F60" s="27">
        <v>72.95</v>
      </c>
      <c r="G60" s="28">
        <v>26492500</v>
      </c>
      <c r="H60" s="24">
        <f t="shared" si="4"/>
        <v>2.4434770397416223E-2</v>
      </c>
      <c r="J60" s="157"/>
      <c r="K60" s="157"/>
    </row>
    <row r="61" spans="1:11">
      <c r="J61" s="157"/>
      <c r="K61" s="157"/>
    </row>
    <row r="62" spans="1:11">
      <c r="J62" s="157"/>
      <c r="K62" s="157"/>
    </row>
    <row r="63" spans="1:11" ht="15.5">
      <c r="A63" s="222" t="s">
        <v>23</v>
      </c>
      <c r="B63" s="223"/>
      <c r="C63" s="223"/>
      <c r="D63" s="223"/>
      <c r="E63" s="223"/>
      <c r="F63" s="223"/>
      <c r="G63" s="223"/>
      <c r="H63" s="224"/>
      <c r="J63" s="225" t="s">
        <v>23</v>
      </c>
      <c r="K63" s="226"/>
    </row>
    <row r="64" spans="1:11" ht="15.5">
      <c r="A64" s="1" t="s">
        <v>1</v>
      </c>
      <c r="B64" s="1" t="s">
        <v>2</v>
      </c>
      <c r="C64" s="1" t="s">
        <v>3</v>
      </c>
      <c r="D64" s="1" t="s">
        <v>4</v>
      </c>
      <c r="E64" s="1" t="s">
        <v>5</v>
      </c>
      <c r="F64" s="1" t="s">
        <v>6</v>
      </c>
      <c r="G64" s="1" t="s">
        <v>7</v>
      </c>
      <c r="H64" s="1" t="s">
        <v>20</v>
      </c>
      <c r="J64" s="154" t="s">
        <v>9</v>
      </c>
      <c r="K64" s="165">
        <f>AVERAGE(H66:H68)</f>
        <v>9.5656449822315304E-3</v>
      </c>
    </row>
    <row r="65" spans="1:11" ht="15.5">
      <c r="A65" s="17">
        <v>45979</v>
      </c>
      <c r="B65" s="23">
        <v>1014.01</v>
      </c>
      <c r="C65" s="23">
        <v>1040.72</v>
      </c>
      <c r="D65" s="23">
        <v>1014.01</v>
      </c>
      <c r="E65" s="23">
        <v>1030.05</v>
      </c>
      <c r="F65" s="23">
        <v>1030.05</v>
      </c>
      <c r="G65" s="18">
        <v>3430500</v>
      </c>
      <c r="H65" s="2" t="s">
        <v>10</v>
      </c>
      <c r="J65" s="155" t="s">
        <v>11</v>
      </c>
      <c r="K65" s="31">
        <f>STDEV(H66:H68)</f>
        <v>1.3588027033799976E-2</v>
      </c>
    </row>
    <row r="66" spans="1:11" ht="15.5">
      <c r="A66" s="17">
        <v>45980</v>
      </c>
      <c r="B66" s="23">
        <v>1029.6400000000001</v>
      </c>
      <c r="C66" s="23">
        <v>1055.5899999999999</v>
      </c>
      <c r="D66" s="23">
        <v>1026.25</v>
      </c>
      <c r="E66" s="23">
        <v>1049.5999999999999</v>
      </c>
      <c r="F66" s="23">
        <v>1049.5999999999999</v>
      </c>
      <c r="G66" s="18">
        <v>3571200</v>
      </c>
      <c r="H66" s="3">
        <f>(F66-F65)/F65</f>
        <v>1.8979661181496001E-2</v>
      </c>
      <c r="J66" s="155" t="s">
        <v>12</v>
      </c>
      <c r="K66" s="167">
        <f>_xlfn.COVARIANCE.S(H66:H68,W14:W16)</f>
        <v>1.6918964090341886E-4</v>
      </c>
    </row>
    <row r="67" spans="1:11" ht="15.5">
      <c r="A67" s="17">
        <v>45981</v>
      </c>
      <c r="B67" s="23">
        <v>1045.5</v>
      </c>
      <c r="C67" s="23">
        <v>1057</v>
      </c>
      <c r="D67" s="23">
        <v>1038.25</v>
      </c>
      <c r="E67" s="23">
        <v>1043.29</v>
      </c>
      <c r="F67" s="23">
        <v>1043.29</v>
      </c>
      <c r="G67" s="18">
        <v>3135700</v>
      </c>
      <c r="H67" s="4">
        <f t="shared" ref="H67" si="5">(F67-F66)/F66</f>
        <v>-6.0118140243901929E-3</v>
      </c>
      <c r="J67" s="155" t="s">
        <v>13</v>
      </c>
      <c r="K67" s="167">
        <f>_xlfn.VAR.S(H66:H68)</f>
        <v>1.8463447867127895E-4</v>
      </c>
    </row>
    <row r="68" spans="1:11" ht="15.5">
      <c r="A68" s="26">
        <v>45982</v>
      </c>
      <c r="B68" s="109">
        <v>1041</v>
      </c>
      <c r="C68" s="109">
        <v>1066.6500000000001</v>
      </c>
      <c r="D68" s="109">
        <v>1038</v>
      </c>
      <c r="E68" s="109">
        <v>1059.7</v>
      </c>
      <c r="F68" s="109">
        <v>1059.7</v>
      </c>
      <c r="G68" s="28">
        <v>4266700</v>
      </c>
      <c r="H68" s="22">
        <f>(F68-F67)/F67</f>
        <v>1.5729087789588782E-2</v>
      </c>
      <c r="J68" s="155" t="s">
        <v>14</v>
      </c>
      <c r="K68" s="31">
        <f>K66/_xlfn.VAR.S(Return!E41:E43)</f>
        <v>0.9624001972687104</v>
      </c>
    </row>
    <row r="69" spans="1:11" ht="15.5">
      <c r="J69" s="155" t="s">
        <v>15</v>
      </c>
      <c r="K69" s="165">
        <f>K64-(0.0002+K68*(AVERAGE(W14:W16)-0.0002))</f>
        <v>1.019666992516602E-2</v>
      </c>
    </row>
    <row r="70" spans="1:11" ht="15.5">
      <c r="J70" s="155" t="s">
        <v>16</v>
      </c>
      <c r="K70" s="165">
        <f>(K64-0.0002)/K68</f>
        <v>9.7315493168135345E-3</v>
      </c>
    </row>
    <row r="71" spans="1:11" ht="15.5">
      <c r="J71" s="156" t="s">
        <v>17</v>
      </c>
      <c r="K71" s="166">
        <f>(K64-0.0002)/K65</f>
        <v>0.68925716433553263</v>
      </c>
    </row>
    <row r="72" spans="1:11">
      <c r="J72" s="157"/>
      <c r="K72" s="157"/>
    </row>
    <row r="73" spans="1:11">
      <c r="J73" s="157"/>
      <c r="K73" s="157"/>
    </row>
    <row r="74" spans="1:11" ht="15.5">
      <c r="A74" s="222" t="s">
        <v>24</v>
      </c>
      <c r="B74" s="223"/>
      <c r="C74" s="223"/>
      <c r="D74" s="223"/>
      <c r="E74" s="223"/>
      <c r="F74" s="223"/>
      <c r="G74" s="223"/>
      <c r="H74" s="224"/>
      <c r="J74" s="225" t="s">
        <v>24</v>
      </c>
      <c r="K74" s="226"/>
    </row>
    <row r="75" spans="1:11" ht="15.5">
      <c r="A75" s="1" t="s">
        <v>1</v>
      </c>
      <c r="B75" s="1" t="s">
        <v>2</v>
      </c>
      <c r="C75" s="1" t="s">
        <v>3</v>
      </c>
      <c r="D75" s="1" t="s">
        <v>4</v>
      </c>
      <c r="E75" s="1" t="s">
        <v>5</v>
      </c>
      <c r="F75" s="1" t="s">
        <v>6</v>
      </c>
      <c r="G75" s="1" t="s">
        <v>7</v>
      </c>
      <c r="H75" s="1" t="s">
        <v>20</v>
      </c>
      <c r="J75" s="154" t="s">
        <v>9</v>
      </c>
      <c r="K75" s="165">
        <f>AVERAGE(H77:H89)</f>
        <v>-3.8397198515918054E-3</v>
      </c>
    </row>
    <row r="76" spans="1:11" ht="15.5">
      <c r="A76" s="17">
        <v>45965</v>
      </c>
      <c r="B76" s="16">
        <v>484.46</v>
      </c>
      <c r="C76" s="16">
        <v>488.5</v>
      </c>
      <c r="D76" s="16">
        <v>481</v>
      </c>
      <c r="E76" s="16">
        <v>484.98</v>
      </c>
      <c r="F76" s="16">
        <v>484.98</v>
      </c>
      <c r="G76" s="18">
        <v>1169300</v>
      </c>
      <c r="H76" s="2" t="s">
        <v>10</v>
      </c>
      <c r="J76" s="155" t="s">
        <v>11</v>
      </c>
      <c r="K76" s="31">
        <f>STDEV(H77:H89)</f>
        <v>1.3949436018098827E-2</v>
      </c>
    </row>
    <row r="77" spans="1:11" ht="15.5">
      <c r="A77" s="17">
        <v>45966</v>
      </c>
      <c r="B77" s="16">
        <v>483.02</v>
      </c>
      <c r="C77" s="16">
        <v>485.85</v>
      </c>
      <c r="D77" s="16">
        <v>473.14</v>
      </c>
      <c r="E77" s="16">
        <v>473.14</v>
      </c>
      <c r="F77" s="16">
        <v>473.14</v>
      </c>
      <c r="G77" s="18">
        <v>1708000</v>
      </c>
      <c r="H77" s="4">
        <f t="shared" ref="H77:H82" si="6">(F77-F76)/F76</f>
        <v>-2.4413377871252487E-2</v>
      </c>
      <c r="J77" s="155" t="s">
        <v>12</v>
      </c>
      <c r="K77" s="167">
        <f>_xlfn.COVARIANCE.S(H77:H89,W4:W16)</f>
        <v>-4.7955593390326998E-5</v>
      </c>
    </row>
    <row r="78" spans="1:11" ht="15.5">
      <c r="A78" s="17">
        <v>45967</v>
      </c>
      <c r="B78" s="16">
        <v>473.11</v>
      </c>
      <c r="C78" s="16">
        <v>474.18</v>
      </c>
      <c r="D78" s="16">
        <v>466.11</v>
      </c>
      <c r="E78" s="16">
        <v>468.92</v>
      </c>
      <c r="F78" s="16">
        <v>468.92</v>
      </c>
      <c r="G78" s="18">
        <v>1093600</v>
      </c>
      <c r="H78" s="4">
        <f t="shared" si="6"/>
        <v>-8.9191359851206204E-3</v>
      </c>
      <c r="J78" s="155" t="s">
        <v>13</v>
      </c>
      <c r="K78" s="167">
        <f>_xlfn.VAR.S(H77:H89)</f>
        <v>1.9458676522303287E-4</v>
      </c>
    </row>
    <row r="79" spans="1:11" ht="15.5">
      <c r="A79" s="17">
        <v>45968</v>
      </c>
      <c r="B79" s="16">
        <v>468.9</v>
      </c>
      <c r="C79" s="16">
        <v>469.41</v>
      </c>
      <c r="D79" s="16">
        <v>456.2</v>
      </c>
      <c r="E79" s="16">
        <v>458.35</v>
      </c>
      <c r="F79" s="16">
        <v>458.35</v>
      </c>
      <c r="G79" s="18">
        <v>2514500</v>
      </c>
      <c r="H79" s="4">
        <f t="shared" si="6"/>
        <v>-2.2541158406551208E-2</v>
      </c>
      <c r="J79" s="155" t="s">
        <v>14</v>
      </c>
      <c r="K79" s="31">
        <f>K77/_xlfn.VAR.S(Return!E31:E43)</f>
        <v>-0.51631813236067681</v>
      </c>
    </row>
    <row r="80" spans="1:11" ht="15.5">
      <c r="A80" s="17">
        <v>45971</v>
      </c>
      <c r="B80" s="16">
        <v>456</v>
      </c>
      <c r="C80" s="16">
        <v>457.1</v>
      </c>
      <c r="D80" s="16">
        <v>448.48</v>
      </c>
      <c r="E80" s="16">
        <v>452.1</v>
      </c>
      <c r="F80" s="16">
        <v>452.1</v>
      </c>
      <c r="G80" s="18">
        <v>1630100</v>
      </c>
      <c r="H80" s="4">
        <f t="shared" si="6"/>
        <v>-1.3635867786625941E-2</v>
      </c>
      <c r="J80" s="155" t="s">
        <v>15</v>
      </c>
      <c r="K80" s="165">
        <f>K75-(0.0002+K79*(AVERAGE(W4:W16)-0.0002))</f>
        <v>-5.1209959700729175E-3</v>
      </c>
    </row>
    <row r="81" spans="1:11" ht="15.5">
      <c r="A81" s="17">
        <v>45972</v>
      </c>
      <c r="B81" s="16">
        <v>451.77</v>
      </c>
      <c r="C81" s="16">
        <v>461.77</v>
      </c>
      <c r="D81" s="16">
        <v>451</v>
      </c>
      <c r="E81" s="16">
        <v>457.07</v>
      </c>
      <c r="F81" s="16">
        <v>457.07</v>
      </c>
      <c r="G81" s="18">
        <v>1322100</v>
      </c>
      <c r="H81" s="3">
        <f t="shared" si="6"/>
        <v>1.0993143109931365E-2</v>
      </c>
      <c r="J81" s="155" t="s">
        <v>16</v>
      </c>
      <c r="K81" s="165">
        <f>(K75-0.0002)/K79</f>
        <v>7.8240906108055057E-3</v>
      </c>
    </row>
    <row r="82" spans="1:11" ht="15.5">
      <c r="A82" s="17">
        <v>45973</v>
      </c>
      <c r="B82" s="16">
        <v>456.14</v>
      </c>
      <c r="C82" s="16">
        <v>459.77</v>
      </c>
      <c r="D82" s="16">
        <v>455.22</v>
      </c>
      <c r="E82" s="16">
        <v>457.04</v>
      </c>
      <c r="F82" s="16">
        <v>457.04</v>
      </c>
      <c r="G82" s="18">
        <v>935400</v>
      </c>
      <c r="H82" s="4">
        <f t="shared" si="6"/>
        <v>-6.5635460651481645E-5</v>
      </c>
      <c r="J82" s="156" t="s">
        <v>17</v>
      </c>
      <c r="K82" s="166">
        <f>(K75-0.0002)/K76</f>
        <v>-0.28959736052055673</v>
      </c>
    </row>
    <row r="83" spans="1:11" ht="15.5">
      <c r="A83" s="17">
        <v>45974</v>
      </c>
      <c r="B83" s="16">
        <v>458.01</v>
      </c>
      <c r="C83" s="16">
        <v>460.91</v>
      </c>
      <c r="D83" s="16">
        <v>455.1</v>
      </c>
      <c r="E83" s="16">
        <v>455.85</v>
      </c>
      <c r="F83" s="16">
        <v>455.85</v>
      </c>
      <c r="G83" s="18">
        <v>819600</v>
      </c>
      <c r="H83" s="4">
        <f t="shared" ref="H83" si="7">(F83-F82)/F82</f>
        <v>-2.6037108349378558E-3</v>
      </c>
      <c r="J83" s="157"/>
      <c r="K83" s="157"/>
    </row>
    <row r="84" spans="1:11" ht="15.5">
      <c r="A84" s="17">
        <v>45975</v>
      </c>
      <c r="B84" s="16">
        <v>455.85</v>
      </c>
      <c r="C84" s="16">
        <v>466.39</v>
      </c>
      <c r="D84" s="16">
        <v>454</v>
      </c>
      <c r="E84" s="16">
        <v>465.77</v>
      </c>
      <c r="F84" s="16">
        <v>465.77</v>
      </c>
      <c r="G84" s="18">
        <v>1177300</v>
      </c>
      <c r="H84" s="3">
        <f t="shared" ref="H84:H89" si="8">(F84-F83)/F83</f>
        <v>2.1761544367664712E-2</v>
      </c>
      <c r="J84" s="157"/>
      <c r="K84" s="157"/>
    </row>
    <row r="85" spans="1:11" ht="15.5">
      <c r="A85" s="17">
        <v>45978</v>
      </c>
      <c r="B85" s="16">
        <v>467.28</v>
      </c>
      <c r="C85" s="16">
        <v>471.6</v>
      </c>
      <c r="D85" s="16">
        <v>464.72</v>
      </c>
      <c r="E85" s="16">
        <v>470.78</v>
      </c>
      <c r="F85" s="16">
        <v>470.78</v>
      </c>
      <c r="G85" s="18">
        <v>1822400</v>
      </c>
      <c r="H85" s="3">
        <f t="shared" si="8"/>
        <v>1.0756381905232176E-2</v>
      </c>
      <c r="J85" s="157"/>
      <c r="K85" s="157"/>
    </row>
    <row r="86" spans="1:11" ht="15.5">
      <c r="A86" s="17">
        <v>45979</v>
      </c>
      <c r="B86" s="16">
        <v>475.22</v>
      </c>
      <c r="C86" s="16">
        <v>485</v>
      </c>
      <c r="D86" s="16">
        <v>471.2</v>
      </c>
      <c r="E86" s="16">
        <v>474.72</v>
      </c>
      <c r="F86" s="16">
        <v>474.72</v>
      </c>
      <c r="G86" s="18">
        <v>1242100</v>
      </c>
      <c r="H86" s="3">
        <f t="shared" si="8"/>
        <v>8.3690895959897503E-3</v>
      </c>
      <c r="J86" s="157"/>
      <c r="K86" s="157"/>
    </row>
    <row r="87" spans="1:11" ht="15.5">
      <c r="A87" s="17">
        <v>45980</v>
      </c>
      <c r="B87" s="16">
        <v>472</v>
      </c>
      <c r="C87" s="16">
        <v>472.42</v>
      </c>
      <c r="D87" s="16">
        <v>468.3</v>
      </c>
      <c r="E87" s="16">
        <v>469.91</v>
      </c>
      <c r="F87" s="16">
        <v>469.91</v>
      </c>
      <c r="G87" s="18">
        <v>861300</v>
      </c>
      <c r="H87" s="4">
        <f t="shared" si="8"/>
        <v>-1.0132288506909341E-2</v>
      </c>
      <c r="J87" s="157"/>
      <c r="K87" s="157"/>
    </row>
    <row r="88" spans="1:11" ht="15.5">
      <c r="A88" s="17">
        <v>45981</v>
      </c>
      <c r="B88" s="16">
        <v>473.88</v>
      </c>
      <c r="C88" s="16">
        <v>477.43</v>
      </c>
      <c r="D88" s="16">
        <v>465.02</v>
      </c>
      <c r="E88" s="16">
        <v>468.26</v>
      </c>
      <c r="F88" s="16">
        <v>468.26</v>
      </c>
      <c r="G88" s="18">
        <v>1044900</v>
      </c>
      <c r="H88" s="4">
        <f t="shared" si="8"/>
        <v>-3.5113106765125961E-3</v>
      </c>
      <c r="J88" s="157"/>
      <c r="K88" s="157"/>
    </row>
    <row r="89" spans="1:11" ht="15.5">
      <c r="A89" s="26">
        <v>45982</v>
      </c>
      <c r="B89" s="27">
        <v>468.6</v>
      </c>
      <c r="C89" s="27">
        <v>469.4</v>
      </c>
      <c r="D89" s="27">
        <v>459.96</v>
      </c>
      <c r="E89" s="27">
        <v>460.78</v>
      </c>
      <c r="F89" s="27">
        <v>460.78</v>
      </c>
      <c r="G89" s="28">
        <v>1575300</v>
      </c>
      <c r="H89" s="25">
        <f t="shared" si="8"/>
        <v>-1.5974031520949939E-2</v>
      </c>
      <c r="J89" s="157"/>
      <c r="K89" s="157"/>
    </row>
    <row r="90" spans="1:11">
      <c r="J90" s="157"/>
      <c r="K90" s="157"/>
    </row>
    <row r="91" spans="1:11">
      <c r="J91" s="157"/>
      <c r="K91" s="157"/>
    </row>
    <row r="92" spans="1:11" ht="15.5">
      <c r="A92" s="222" t="s">
        <v>25</v>
      </c>
      <c r="B92" s="223"/>
      <c r="C92" s="223"/>
      <c r="D92" s="223"/>
      <c r="E92" s="223"/>
      <c r="F92" s="223"/>
      <c r="G92" s="223"/>
      <c r="H92" s="224"/>
      <c r="J92" s="225" t="s">
        <v>25</v>
      </c>
      <c r="K92" s="226"/>
    </row>
    <row r="93" spans="1:11" ht="15.5">
      <c r="A93" s="1" t="s">
        <v>1</v>
      </c>
      <c r="B93" s="1" t="s">
        <v>2</v>
      </c>
      <c r="C93" s="1" t="s">
        <v>3</v>
      </c>
      <c r="D93" s="1" t="s">
        <v>4</v>
      </c>
      <c r="E93" s="1" t="s">
        <v>5</v>
      </c>
      <c r="F93" s="1" t="s">
        <v>6</v>
      </c>
      <c r="G93" s="1" t="s">
        <v>7</v>
      </c>
      <c r="H93" s="1" t="s">
        <v>20</v>
      </c>
      <c r="J93" s="154" t="s">
        <v>9</v>
      </c>
      <c r="K93" s="165">
        <f>AVERAGE(H95:H100)</f>
        <v>-1.0212807372541233E-2</v>
      </c>
    </row>
    <row r="94" spans="1:11" ht="15.5">
      <c r="A94" s="115">
        <v>45974</v>
      </c>
      <c r="B94" s="117">
        <v>510.31</v>
      </c>
      <c r="C94" s="117">
        <v>513.5</v>
      </c>
      <c r="D94" s="117">
        <v>501.29</v>
      </c>
      <c r="E94" s="117">
        <v>503.29</v>
      </c>
      <c r="F94" s="117">
        <v>502.35</v>
      </c>
      <c r="G94" s="119">
        <v>25273100</v>
      </c>
      <c r="H94" s="111"/>
      <c r="J94" s="155" t="s">
        <v>11</v>
      </c>
      <c r="K94" s="31">
        <f>_xlfn.STDEV.S(H95:H100)</f>
        <v>1.3642206379054994E-2</v>
      </c>
    </row>
    <row r="95" spans="1:11" ht="15.5">
      <c r="A95" s="115">
        <v>45975</v>
      </c>
      <c r="B95" s="117">
        <v>498.23</v>
      </c>
      <c r="C95" s="117">
        <v>511.6</v>
      </c>
      <c r="D95" s="117">
        <v>497.44</v>
      </c>
      <c r="E95" s="117">
        <v>510.18</v>
      </c>
      <c r="F95" s="117">
        <v>509.23</v>
      </c>
      <c r="G95" s="119">
        <v>28505700</v>
      </c>
      <c r="H95" s="121">
        <f>(F95-F94)/F94</f>
        <v>1.3695630536478541E-2</v>
      </c>
      <c r="J95" s="155" t="s">
        <v>12</v>
      </c>
      <c r="K95" s="167">
        <f>_xlfn.COVARIANCE.S(H95:H100,W11:W16)</f>
        <v>2.5963244565191434E-5</v>
      </c>
    </row>
    <row r="96" spans="1:11" ht="15.5">
      <c r="A96" s="115">
        <v>45978</v>
      </c>
      <c r="B96" s="117">
        <v>508.45</v>
      </c>
      <c r="C96" s="117">
        <v>512.12</v>
      </c>
      <c r="D96" s="117">
        <v>504.91</v>
      </c>
      <c r="E96" s="117">
        <v>507.49</v>
      </c>
      <c r="F96" s="117">
        <v>506.54</v>
      </c>
      <c r="G96" s="119">
        <v>19092800</v>
      </c>
      <c r="H96" s="121">
        <f t="shared" ref="H96:H100" si="9">(F96-F95)/F95</f>
        <v>-5.2824853209748005E-3</v>
      </c>
      <c r="J96" s="155" t="s">
        <v>13</v>
      </c>
      <c r="K96" s="167">
        <f>_xlfn.VAR.S(H95:H100)</f>
        <v>1.8610979488872876E-4</v>
      </c>
    </row>
    <row r="97" spans="1:21" ht="15.5">
      <c r="A97" s="116">
        <v>45979</v>
      </c>
      <c r="B97" s="16">
        <v>495.37</v>
      </c>
      <c r="C97" s="118">
        <v>502.98</v>
      </c>
      <c r="D97" s="118">
        <v>486.78</v>
      </c>
      <c r="E97" s="118">
        <v>493.79</v>
      </c>
      <c r="F97" s="118">
        <v>492.87</v>
      </c>
      <c r="G97" s="120">
        <v>33815100</v>
      </c>
      <c r="H97" s="121">
        <f t="shared" si="9"/>
        <v>-2.698700991037236E-2</v>
      </c>
      <c r="J97" s="155" t="s">
        <v>14</v>
      </c>
      <c r="K97" s="31">
        <f>K95/_xlfn.VAR.S(Return!E38:E43)</f>
        <v>0.29556491272945162</v>
      </c>
    </row>
    <row r="98" spans="1:21" ht="15.5">
      <c r="A98" s="17">
        <v>45980</v>
      </c>
      <c r="B98" s="16">
        <v>490.1</v>
      </c>
      <c r="C98" s="16">
        <v>495.19</v>
      </c>
      <c r="D98" s="118">
        <v>482.83</v>
      </c>
      <c r="E98" s="118">
        <v>487.12</v>
      </c>
      <c r="F98" s="16">
        <v>486.21</v>
      </c>
      <c r="G98" s="18">
        <v>23245300</v>
      </c>
      <c r="H98" s="4">
        <f t="shared" si="9"/>
        <v>-1.3512690973279009E-2</v>
      </c>
      <c r="J98" s="155" t="s">
        <v>15</v>
      </c>
      <c r="K98" s="165">
        <f>K93-(0.0002+K97*(AVERAGE(W11:W16)-0.0002))</f>
        <v>-9.3728699440225639E-3</v>
      </c>
    </row>
    <row r="99" spans="1:21" ht="15.5">
      <c r="A99" s="17">
        <v>45981</v>
      </c>
      <c r="B99" s="16">
        <v>492.71</v>
      </c>
      <c r="C99" s="16">
        <v>493.57</v>
      </c>
      <c r="D99" s="16">
        <v>475.5</v>
      </c>
      <c r="E99" s="16">
        <v>478.43</v>
      </c>
      <c r="F99" s="16">
        <v>478.43</v>
      </c>
      <c r="G99" s="18">
        <v>26802500</v>
      </c>
      <c r="H99" s="4">
        <f t="shared" si="9"/>
        <v>-1.6001316303654745E-2</v>
      </c>
      <c r="J99" s="155" t="s">
        <v>16</v>
      </c>
      <c r="K99" s="165">
        <f>(K93-0.0002)/K97</f>
        <v>-3.5230187766139558E-2</v>
      </c>
      <c r="M99" s="5"/>
    </row>
    <row r="100" spans="1:21" ht="15.5">
      <c r="A100" s="26">
        <v>45982</v>
      </c>
      <c r="B100" s="27">
        <v>478.5</v>
      </c>
      <c r="C100" s="27">
        <v>478.92</v>
      </c>
      <c r="D100" s="27">
        <v>468.27</v>
      </c>
      <c r="E100" s="27">
        <v>472.12</v>
      </c>
      <c r="F100" s="27">
        <v>472.12</v>
      </c>
      <c r="G100" s="28">
        <v>31769200</v>
      </c>
      <c r="H100" s="25">
        <f t="shared" si="9"/>
        <v>-1.3188972263445023E-2</v>
      </c>
      <c r="J100" s="156" t="s">
        <v>17</v>
      </c>
      <c r="K100" s="166">
        <f>(K93-0.0002)/K94</f>
        <v>-0.76327883358575432</v>
      </c>
    </row>
    <row r="101" spans="1:21">
      <c r="J101" s="157"/>
      <c r="K101" s="157"/>
    </row>
    <row r="102" spans="1:21">
      <c r="J102" s="157"/>
      <c r="K102" s="157"/>
    </row>
    <row r="103" spans="1:21">
      <c r="J103" s="157"/>
      <c r="K103" s="157"/>
    </row>
    <row r="104" spans="1:21" ht="15" thickBot="1">
      <c r="J104" s="157"/>
      <c r="K104" s="157"/>
      <c r="O104" s="112"/>
      <c r="P104" s="113"/>
      <c r="Q104" s="113"/>
      <c r="R104" s="113"/>
      <c r="S104" s="113"/>
      <c r="T104" s="113"/>
      <c r="U104" s="114"/>
    </row>
    <row r="105" spans="1:21" ht="15.5">
      <c r="A105" s="222" t="s">
        <v>26</v>
      </c>
      <c r="B105" s="223"/>
      <c r="C105" s="223"/>
      <c r="D105" s="223"/>
      <c r="E105" s="223"/>
      <c r="F105" s="223"/>
      <c r="G105" s="223"/>
      <c r="H105" s="224"/>
      <c r="J105" s="225" t="s">
        <v>26</v>
      </c>
      <c r="K105" s="226"/>
      <c r="O105" s="112"/>
      <c r="P105" s="113"/>
      <c r="Q105" s="113"/>
      <c r="R105" s="113"/>
      <c r="S105" s="113"/>
      <c r="T105" s="113"/>
      <c r="U105" s="114"/>
    </row>
    <row r="106" spans="1:21" ht="15.5">
      <c r="A106" s="1" t="s">
        <v>1</v>
      </c>
      <c r="B106" s="1" t="s">
        <v>2</v>
      </c>
      <c r="C106" s="1" t="s">
        <v>3</v>
      </c>
      <c r="D106" s="1" t="s">
        <v>4</v>
      </c>
      <c r="E106" s="1" t="s">
        <v>5</v>
      </c>
      <c r="F106" s="1" t="s">
        <v>6</v>
      </c>
      <c r="G106" s="1" t="s">
        <v>7</v>
      </c>
      <c r="H106" s="1" t="s">
        <v>20</v>
      </c>
      <c r="J106" s="154" t="s">
        <v>9</v>
      </c>
      <c r="K106" s="165">
        <f>AVERAGE(H108:H110)</f>
        <v>-5.3079570449482243E-4</v>
      </c>
      <c r="O106" s="112"/>
      <c r="P106" s="113"/>
      <c r="Q106" s="113"/>
      <c r="R106" s="113"/>
      <c r="S106" s="113"/>
      <c r="T106" s="113"/>
      <c r="U106" s="114"/>
    </row>
    <row r="107" spans="1:21" ht="15.5">
      <c r="A107" s="17">
        <v>45979</v>
      </c>
      <c r="B107" s="16">
        <v>608.72</v>
      </c>
      <c r="C107" s="16">
        <v>611.51</v>
      </c>
      <c r="D107" s="16">
        <v>603</v>
      </c>
      <c r="E107" s="16">
        <v>607</v>
      </c>
      <c r="F107" s="16">
        <v>607</v>
      </c>
      <c r="G107" s="18">
        <v>8542600</v>
      </c>
      <c r="H107" s="2" t="s">
        <v>10</v>
      </c>
      <c r="J107" s="155" t="s">
        <v>11</v>
      </c>
      <c r="K107" s="31">
        <f>STDEV(H108:H110)</f>
        <v>1.3064410252046651E-2</v>
      </c>
    </row>
    <row r="108" spans="1:21" ht="15.5">
      <c r="A108" s="17">
        <v>45980</v>
      </c>
      <c r="B108" s="16">
        <v>607.52</v>
      </c>
      <c r="C108" s="16">
        <v>613.57000000000005</v>
      </c>
      <c r="D108" s="16">
        <v>605.66999999999996</v>
      </c>
      <c r="E108" s="16">
        <v>609.20000000000005</v>
      </c>
      <c r="F108" s="16">
        <v>609.20000000000005</v>
      </c>
      <c r="G108" s="18">
        <v>7449400</v>
      </c>
      <c r="H108" s="3">
        <f>(F108-F107)/F107</f>
        <v>3.6243822075783284E-3</v>
      </c>
      <c r="J108" s="155" t="s">
        <v>12</v>
      </c>
      <c r="K108" s="167">
        <f>_xlfn.COVARIANCE.S(H108:H110,W14:W16)</f>
        <v>1.73204229222286E-4</v>
      </c>
    </row>
    <row r="109" spans="1:21" ht="15.5">
      <c r="A109" s="17">
        <v>45981</v>
      </c>
      <c r="B109" s="16">
        <v>618.72</v>
      </c>
      <c r="C109" s="16">
        <v>621.13</v>
      </c>
      <c r="D109" s="16">
        <v>599.36</v>
      </c>
      <c r="E109" s="16">
        <v>599.96</v>
      </c>
      <c r="F109" s="16">
        <v>599.96</v>
      </c>
      <c r="G109" s="18">
        <v>13985000</v>
      </c>
      <c r="H109" s="4">
        <f>(F109-F108)/F108</f>
        <v>-1.5167432698621156E-2</v>
      </c>
      <c r="J109" s="155" t="s">
        <v>13</v>
      </c>
      <c r="K109" s="167">
        <f>_xlfn.VAR.S(H108:H110)</f>
        <v>1.7067881523378164E-4</v>
      </c>
    </row>
    <row r="110" spans="1:21" ht="15.5">
      <c r="A110" s="26">
        <v>45982</v>
      </c>
      <c r="B110" s="27">
        <v>602.25</v>
      </c>
      <c r="C110" s="27">
        <v>611.01</v>
      </c>
      <c r="D110" s="27">
        <v>598.38</v>
      </c>
      <c r="E110" s="27">
        <v>605.92999999999995</v>
      </c>
      <c r="F110" s="27">
        <v>605.92999999999995</v>
      </c>
      <c r="G110" s="28">
        <v>9821400</v>
      </c>
      <c r="H110" s="22">
        <f>(F110-F109)/F109</f>
        <v>9.9506633775583598E-3</v>
      </c>
      <c r="J110" s="155" t="s">
        <v>14</v>
      </c>
      <c r="K110" s="31">
        <f>K108/_xlfn.VAR.S(Return!E41:E43)</f>
        <v>0.98523635064902249</v>
      </c>
    </row>
    <row r="111" spans="1:21" ht="15.5">
      <c r="J111" s="155" t="s">
        <v>15</v>
      </c>
      <c r="K111" s="165">
        <f>K106-(0.0002+K110*(AVERAGE(W14:W16)-0.0002))</f>
        <v>1.1994807589790443E-4</v>
      </c>
    </row>
    <row r="112" spans="1:21" ht="15.5">
      <c r="J112" s="155" t="s">
        <v>16</v>
      </c>
      <c r="K112" s="165">
        <f>(K106-0.0002)/K110</f>
        <v>-7.4174659107270266E-4</v>
      </c>
    </row>
    <row r="113" spans="10:11" ht="15.5">
      <c r="J113" s="156" t="s">
        <v>17</v>
      </c>
      <c r="K113" s="166">
        <f>(K106-0.0002)/K107</f>
        <v>-5.5937902315976111E-2</v>
      </c>
    </row>
  </sheetData>
  <mergeCells count="17">
    <mergeCell ref="A30:H30"/>
    <mergeCell ref="J30:K30"/>
    <mergeCell ref="P1:W1"/>
    <mergeCell ref="A92:H92"/>
    <mergeCell ref="J92:K92"/>
    <mergeCell ref="A1:H1"/>
    <mergeCell ref="J1:K1"/>
    <mergeCell ref="A19:H19"/>
    <mergeCell ref="J19:K19"/>
    <mergeCell ref="A105:H105"/>
    <mergeCell ref="J105:K105"/>
    <mergeCell ref="A48:H48"/>
    <mergeCell ref="J48:K48"/>
    <mergeCell ref="A63:H63"/>
    <mergeCell ref="J63:K63"/>
    <mergeCell ref="A74:H74"/>
    <mergeCell ref="J74:K7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91CFA-76D2-4FBB-9E5D-999BF53AFE81}">
  <dimension ref="A1:L33"/>
  <sheetViews>
    <sheetView workbookViewId="0">
      <selection activeCell="C17" sqref="C17"/>
    </sheetView>
  </sheetViews>
  <sheetFormatPr defaultColWidth="9.1796875" defaultRowHeight="15.5"/>
  <cols>
    <col min="1" max="1" width="9.1796875" style="48"/>
    <col min="2" max="2" width="15.6328125" style="48" bestFit="1" customWidth="1"/>
    <col min="3" max="3" width="21" style="48" bestFit="1" customWidth="1"/>
    <col min="4" max="4" width="11.36328125" style="48" bestFit="1" customWidth="1"/>
    <col min="5" max="6" width="14.81640625" style="48" bestFit="1" customWidth="1"/>
    <col min="7" max="7" width="15.1796875" style="48" bestFit="1" customWidth="1"/>
    <col min="8" max="8" width="14.36328125" style="48" bestFit="1" customWidth="1"/>
    <col min="9" max="16384" width="9.1796875" style="48"/>
  </cols>
  <sheetData>
    <row r="1" spans="1:9">
      <c r="B1" s="230" t="s">
        <v>27</v>
      </c>
      <c r="C1" s="231"/>
      <c r="D1" s="232"/>
      <c r="E1" s="230" t="s">
        <v>28</v>
      </c>
      <c r="F1" s="231"/>
      <c r="G1" s="233"/>
      <c r="H1" s="56"/>
      <c r="I1" s="49"/>
    </row>
    <row r="2" spans="1:9">
      <c r="B2" s="133" t="s">
        <v>13</v>
      </c>
      <c r="C2" s="134" t="s">
        <v>29</v>
      </c>
      <c r="D2" s="134" t="s">
        <v>14</v>
      </c>
      <c r="E2" s="134" t="s">
        <v>15</v>
      </c>
      <c r="F2" s="134" t="s">
        <v>30</v>
      </c>
      <c r="G2" s="134" t="s">
        <v>17</v>
      </c>
      <c r="H2" s="134" t="s">
        <v>31</v>
      </c>
    </row>
    <row r="3" spans="1:9">
      <c r="A3" s="135" t="s">
        <v>0</v>
      </c>
      <c r="B3" s="158">
        <f>'Individual stocks'!K5</f>
        <v>1.1393457262140427E-4</v>
      </c>
      <c r="C3" s="159">
        <f>'Individual stocks'!K3</f>
        <v>1.0674013894566761E-2</v>
      </c>
      <c r="D3" s="159">
        <f>'Individual stocks'!K6</f>
        <v>0.60758846324518212</v>
      </c>
      <c r="E3" s="159">
        <f>'Individual stocks'!K7</f>
        <v>1.6109145778665686E-3</v>
      </c>
      <c r="F3" s="159">
        <f>'Individual stocks'!K8</f>
        <v>5.5711995564477047E-4</v>
      </c>
      <c r="G3" s="159">
        <f>'Individual stocks'!K9</f>
        <v>3.1712499256323037E-2</v>
      </c>
      <c r="H3" s="52">
        <v>2.9600000000000001E-2</v>
      </c>
    </row>
    <row r="4" spans="1:9">
      <c r="A4" s="136" t="s">
        <v>19</v>
      </c>
      <c r="B4" s="110">
        <f>'Individual stocks'!K23</f>
        <v>4.3388821564878502E-4</v>
      </c>
      <c r="C4" s="159">
        <f>'Individual stocks'!K21</f>
        <v>2.0829983572936035E-2</v>
      </c>
      <c r="D4" s="159">
        <f>'Individual stocks'!K24</f>
        <v>1.5519358834213981</v>
      </c>
      <c r="E4" s="159">
        <f>'Individual stocks'!K25</f>
        <v>4.0188332926330544E-4</v>
      </c>
      <c r="F4" s="159">
        <f>'Individual stocks'!K26</f>
        <v>-1.8352490594530108E-3</v>
      </c>
      <c r="G4" s="159">
        <f>'Individual stocks'!K27</f>
        <v>-0.22314894556228998</v>
      </c>
      <c r="H4" s="52">
        <v>9.5200000000000007E-2</v>
      </c>
    </row>
    <row r="5" spans="1:9">
      <c r="A5" s="136" t="s">
        <v>21</v>
      </c>
      <c r="B5" s="159">
        <f>'Individual stocks'!K34</f>
        <v>2.472478917406289E-4</v>
      </c>
      <c r="C5" s="159">
        <f>'Individual stocks'!K32</f>
        <v>1.5724118154625679E-2</v>
      </c>
      <c r="D5" s="159">
        <f>'Individual stocks'!K35</f>
        <v>1.3966658673723686</v>
      </c>
      <c r="E5" s="159">
        <f>'Individual stocks'!K36</f>
        <v>1.0338663273754324E-3</v>
      </c>
      <c r="F5" s="186">
        <f>'Individual stocks'!K37</f>
        <v>-1.353966357436943E-3</v>
      </c>
      <c r="G5" s="159">
        <f>'Individual stocks'!K38</f>
        <v>-0.12026357080294349</v>
      </c>
      <c r="H5" s="52">
        <v>5.0999999999999997E-2</v>
      </c>
    </row>
    <row r="6" spans="1:9">
      <c r="A6" s="136" t="s">
        <v>22</v>
      </c>
      <c r="B6" s="159">
        <f>'Individual stocks'!K52</f>
        <v>9.6733666655624622E-5</v>
      </c>
      <c r="C6" s="159">
        <f>'Individual stocks'!K50</f>
        <v>9.8353274808531226E-3</v>
      </c>
      <c r="D6" s="159">
        <f>'Individual stocks'!K53</f>
        <v>0.40427981138643859</v>
      </c>
      <c r="E6" s="159">
        <f>'Individual stocks'!K54</f>
        <v>4.0171429278508209E-3</v>
      </c>
      <c r="F6" s="159">
        <f>'Individual stocks'!K55</f>
        <v>7.9003534380147275E-3</v>
      </c>
      <c r="G6" s="159">
        <f>'Individual stocks'!K56</f>
        <v>0.32474296397599467</v>
      </c>
      <c r="H6" s="52">
        <v>3.3999999999999998E-3</v>
      </c>
    </row>
    <row r="7" spans="1:9">
      <c r="A7" s="136" t="s">
        <v>23</v>
      </c>
      <c r="B7" s="159">
        <f>'Individual stocks'!K67</f>
        <v>1.8463447867127895E-4</v>
      </c>
      <c r="C7" s="159">
        <f>'Individual stocks'!K65</f>
        <v>1.3588027033799976E-2</v>
      </c>
      <c r="D7" s="159">
        <f>'Individual stocks'!K68</f>
        <v>0.9624001972687104</v>
      </c>
      <c r="E7" s="159">
        <f>'Individual stocks'!K69</f>
        <v>1.019666992516602E-2</v>
      </c>
      <c r="F7" s="159">
        <f>'Individual stocks'!K70</f>
        <v>9.7315493168135345E-3</v>
      </c>
      <c r="G7" s="159">
        <f>'Individual stocks'!K71</f>
        <v>0.68925716433553263</v>
      </c>
      <c r="H7" s="52">
        <v>7.3700000000000002E-2</v>
      </c>
    </row>
    <row r="8" spans="1:9">
      <c r="A8" s="136" t="s">
        <v>24</v>
      </c>
      <c r="B8" s="159">
        <f>'Individual stocks'!K78</f>
        <v>1.9458676522303287E-4</v>
      </c>
      <c r="C8" s="159">
        <f>'Individual stocks'!K76</f>
        <v>1.3949436018098827E-2</v>
      </c>
      <c r="D8" s="159">
        <f>'Individual stocks'!K79</f>
        <v>-0.51631813236067681</v>
      </c>
      <c r="E8" s="159">
        <f>'Individual stocks'!K80</f>
        <v>-5.1209959700729175E-3</v>
      </c>
      <c r="F8" s="159">
        <f>'Individual stocks'!K81</f>
        <v>7.8240906108055057E-3</v>
      </c>
      <c r="G8" s="159">
        <f>'Individual stocks'!K82</f>
        <v>-0.28959736052055673</v>
      </c>
      <c r="H8" s="52">
        <v>1.8100000000000002E-2</v>
      </c>
    </row>
    <row r="9" spans="1:9">
      <c r="A9" s="136" t="s">
        <v>25</v>
      </c>
      <c r="B9" s="159">
        <f>'Individual stocks'!K96</f>
        <v>1.8610979488872876E-4</v>
      </c>
      <c r="C9" s="160">
        <f>'Individual stocks'!K94</f>
        <v>1.3642206379054994E-2</v>
      </c>
      <c r="D9" s="161">
        <f>'Individual stocks'!K97</f>
        <v>0.29556491272945162</v>
      </c>
      <c r="E9" s="159">
        <f>'Individual stocks'!K98</f>
        <v>-9.3728699440225639E-3</v>
      </c>
      <c r="F9" s="159">
        <f>'Individual stocks'!K99</f>
        <v>-3.5230187766139558E-2</v>
      </c>
      <c r="G9" s="159">
        <f>'Individual stocks'!K100</f>
        <v>-0.76327883358575432</v>
      </c>
      <c r="H9" s="52">
        <v>0.12590000000000001</v>
      </c>
    </row>
    <row r="10" spans="1:9">
      <c r="A10" s="137" t="s">
        <v>26</v>
      </c>
      <c r="B10" s="162">
        <f>'Individual stocks'!K109</f>
        <v>1.7067881523378164E-4</v>
      </c>
      <c r="C10" s="163">
        <f>'Individual stocks'!K107</f>
        <v>1.3064410252046651E-2</v>
      </c>
      <c r="D10" s="164">
        <f>'Individual stocks'!K110</f>
        <v>0.98523635064902249</v>
      </c>
      <c r="E10" s="164">
        <f>'Individual stocks'!K111</f>
        <v>1.1994807589790443E-4</v>
      </c>
      <c r="F10" s="164">
        <f>'Individual stocks'!K112</f>
        <v>-7.4174659107270266E-4</v>
      </c>
      <c r="G10" s="164">
        <f>'Individual stocks'!K113</f>
        <v>-5.5937902315976111E-2</v>
      </c>
      <c r="H10" s="206">
        <v>0.60319999999999996</v>
      </c>
    </row>
    <row r="11" spans="1:9">
      <c r="A11" s="96"/>
      <c r="C11" s="51"/>
      <c r="D11" s="147"/>
    </row>
    <row r="14" spans="1:9">
      <c r="B14" s="91"/>
      <c r="C14" s="92"/>
    </row>
    <row r="15" spans="1:9">
      <c r="B15" s="91"/>
      <c r="C15" s="92"/>
    </row>
    <row r="16" spans="1:9">
      <c r="B16" s="91"/>
      <c r="C16" s="98"/>
    </row>
    <row r="17" spans="2:12">
      <c r="B17" s="91"/>
      <c r="C17" s="29"/>
    </row>
    <row r="18" spans="2:12">
      <c r="B18" s="91"/>
      <c r="C18" s="29"/>
    </row>
    <row r="19" spans="2:12">
      <c r="B19" s="91"/>
      <c r="C19" s="92"/>
      <c r="D19" s="92"/>
      <c r="K19" s="234"/>
      <c r="L19" s="234"/>
    </row>
    <row r="20" spans="2:12">
      <c r="B20" s="91"/>
      <c r="C20" s="29"/>
      <c r="D20" s="92"/>
      <c r="G20" s="234"/>
      <c r="H20" s="234"/>
      <c r="K20" s="91"/>
      <c r="L20" s="92"/>
    </row>
    <row r="21" spans="2:12">
      <c r="B21" s="93"/>
      <c r="C21" s="138"/>
      <c r="D21" s="98"/>
      <c r="G21" s="91"/>
      <c r="H21" s="92"/>
      <c r="K21" s="91"/>
      <c r="L21" s="92"/>
    </row>
    <row r="22" spans="2:12">
      <c r="C22" s="91"/>
      <c r="D22" s="98"/>
      <c r="E22" s="91"/>
      <c r="F22" s="92"/>
      <c r="G22" s="91"/>
      <c r="H22" s="92"/>
      <c r="K22" s="91"/>
      <c r="L22" s="98"/>
    </row>
    <row r="23" spans="2:12">
      <c r="C23" s="91"/>
      <c r="D23" s="29"/>
      <c r="E23" s="91"/>
      <c r="F23" s="92"/>
      <c r="G23" s="91"/>
      <c r="H23" s="98"/>
      <c r="K23" s="91"/>
      <c r="L23" s="98"/>
    </row>
    <row r="24" spans="2:12">
      <c r="C24" s="91"/>
      <c r="D24" s="92"/>
      <c r="E24" s="91"/>
      <c r="F24" s="98"/>
      <c r="G24" s="91"/>
      <c r="H24" s="98"/>
      <c r="K24" s="91"/>
      <c r="L24" s="29"/>
    </row>
    <row r="25" spans="2:12">
      <c r="C25" s="91"/>
      <c r="D25" s="92"/>
      <c r="E25" s="91"/>
      <c r="F25" s="98"/>
      <c r="G25" s="91"/>
      <c r="H25" s="29"/>
      <c r="K25" s="91"/>
      <c r="L25" s="92"/>
    </row>
    <row r="26" spans="2:12">
      <c r="C26" s="91"/>
      <c r="D26" s="92"/>
      <c r="E26" s="91"/>
      <c r="F26" s="29"/>
      <c r="G26" s="91"/>
      <c r="H26" s="92"/>
      <c r="K26" s="91"/>
      <c r="L26" s="29"/>
    </row>
    <row r="27" spans="2:12">
      <c r="C27" s="91"/>
      <c r="D27" s="98"/>
      <c r="E27" s="91"/>
      <c r="F27" s="92"/>
      <c r="G27" s="91"/>
      <c r="H27" s="29"/>
      <c r="K27" s="93"/>
      <c r="L27" s="29"/>
    </row>
    <row r="28" spans="2:12">
      <c r="C28" s="91"/>
      <c r="D28" s="131"/>
      <c r="E28" s="91"/>
      <c r="F28" s="29"/>
      <c r="G28" s="93"/>
      <c r="H28" s="29"/>
      <c r="K28" s="91"/>
      <c r="L28" s="29"/>
    </row>
    <row r="29" spans="2:12">
      <c r="C29" s="91"/>
      <c r="D29" s="29"/>
      <c r="E29" s="93"/>
      <c r="F29" s="29"/>
      <c r="K29" s="91"/>
      <c r="L29" s="92"/>
    </row>
    <row r="30" spans="2:12">
      <c r="C30" s="91"/>
      <c r="D30" s="92"/>
      <c r="K30" s="91"/>
      <c r="L30" s="29"/>
    </row>
    <row r="31" spans="2:12">
      <c r="C31" s="91"/>
      <c r="D31" s="29"/>
      <c r="K31" s="93"/>
      <c r="L31" s="29"/>
    </row>
    <row r="32" spans="2:12">
      <c r="C32" s="93"/>
      <c r="D32" s="29"/>
    </row>
    <row r="33" spans="3:4">
      <c r="C33"/>
      <c r="D33"/>
    </row>
  </sheetData>
  <mergeCells count="4">
    <mergeCell ref="B1:D1"/>
    <mergeCell ref="E1:G1"/>
    <mergeCell ref="G20:H20"/>
    <mergeCell ref="K19:L1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06429-560C-A84D-BACF-A16916E68D56}">
  <dimension ref="A1:H45"/>
  <sheetViews>
    <sheetView topLeftCell="D1" zoomScale="125" workbookViewId="0">
      <selection activeCell="H10" sqref="H10"/>
    </sheetView>
  </sheetViews>
  <sheetFormatPr defaultColWidth="10.90625" defaultRowHeight="14.5"/>
  <cols>
    <col min="1" max="1" width="16.81640625" bestFit="1" customWidth="1"/>
    <col min="2" max="2" width="14" bestFit="1" customWidth="1"/>
    <col min="3" max="3" width="19.453125" bestFit="1" customWidth="1"/>
    <col min="4" max="4" width="12.453125" bestFit="1" customWidth="1"/>
    <col min="5" max="5" width="17.6328125" bestFit="1" customWidth="1"/>
    <col min="7" max="7" width="17" bestFit="1" customWidth="1"/>
    <col min="8" max="8" width="12.6328125" bestFit="1" customWidth="1"/>
  </cols>
  <sheetData>
    <row r="1" spans="1:8" ht="15.5">
      <c r="A1" s="33" t="s">
        <v>32</v>
      </c>
      <c r="B1" s="33" t="s">
        <v>33</v>
      </c>
      <c r="C1" s="187" t="s">
        <v>34</v>
      </c>
      <c r="D1" s="188" t="s">
        <v>35</v>
      </c>
      <c r="E1" s="189" t="s">
        <v>82</v>
      </c>
    </row>
    <row r="2" spans="1:8" ht="15.5">
      <c r="A2" s="201" t="s">
        <v>83</v>
      </c>
      <c r="B2" s="190">
        <v>10000000</v>
      </c>
      <c r="C2" s="191"/>
      <c r="D2" s="192">
        <v>6604.72</v>
      </c>
      <c r="E2" s="191"/>
    </row>
    <row r="3" spans="1:8" ht="16" thickBot="1">
      <c r="A3" s="201" t="s">
        <v>84</v>
      </c>
      <c r="B3" s="190">
        <v>10000273.970000001</v>
      </c>
      <c r="C3" s="196">
        <f>(B3-B2)/B2</f>
        <v>2.7397000000067057E-5</v>
      </c>
      <c r="D3" s="192">
        <v>6643.7</v>
      </c>
      <c r="E3" s="196">
        <f>(D3-D2)/D2</f>
        <v>5.901839896316507E-3</v>
      </c>
    </row>
    <row r="4" spans="1:8" ht="16" thickBot="1">
      <c r="A4" s="201" t="s">
        <v>85</v>
      </c>
      <c r="B4" s="190">
        <v>10001095.939999999</v>
      </c>
      <c r="C4" s="196">
        <f t="shared" ref="C4:C43" si="0">(B4-B3)/B3</f>
        <v>8.2194748110366806E-5</v>
      </c>
      <c r="D4" s="192">
        <v>6661.21</v>
      </c>
      <c r="E4" s="196">
        <f t="shared" ref="E4:E42" si="1">(D4-D3)/D3</f>
        <v>2.6355795716242786E-3</v>
      </c>
      <c r="G4" s="222" t="s">
        <v>43</v>
      </c>
      <c r="H4" s="224"/>
    </row>
    <row r="5" spans="1:8" ht="15.5">
      <c r="A5" s="201" t="s">
        <v>86</v>
      </c>
      <c r="B5" s="190">
        <v>10001369.939999999</v>
      </c>
      <c r="C5" s="196">
        <f t="shared" si="0"/>
        <v>2.7396997453461088E-5</v>
      </c>
      <c r="D5" s="192">
        <v>6688.46</v>
      </c>
      <c r="E5" s="196">
        <f t="shared" si="1"/>
        <v>4.0908483593821545E-3</v>
      </c>
      <c r="G5" s="8" t="s">
        <v>36</v>
      </c>
      <c r="H5" s="30">
        <f>E44</f>
        <v>-2.6193388970319198E-4</v>
      </c>
    </row>
    <row r="6" spans="1:8" ht="15.5">
      <c r="A6" s="202">
        <v>45667</v>
      </c>
      <c r="B6" s="190">
        <v>10001643.949999999</v>
      </c>
      <c r="C6" s="196">
        <f t="shared" si="0"/>
        <v>2.7397246741557537E-5</v>
      </c>
      <c r="D6" s="192">
        <v>6711.2</v>
      </c>
      <c r="E6" s="196">
        <f t="shared" si="1"/>
        <v>3.3998857734067007E-3</v>
      </c>
      <c r="G6" s="95" t="s">
        <v>37</v>
      </c>
      <c r="H6" s="30">
        <f>E45</f>
        <v>3.0447348901150106E-5</v>
      </c>
    </row>
    <row r="7" spans="1:8" ht="15.5">
      <c r="A7" s="202">
        <v>45698</v>
      </c>
      <c r="B7" s="190">
        <v>10001917.970000001</v>
      </c>
      <c r="C7" s="196">
        <f t="shared" si="0"/>
        <v>2.7397495988788488E-5</v>
      </c>
      <c r="D7" s="192">
        <v>6715.35</v>
      </c>
      <c r="E7" s="196">
        <f t="shared" si="1"/>
        <v>6.1836929312202677E-4</v>
      </c>
      <c r="G7" s="13" t="s">
        <v>11</v>
      </c>
      <c r="H7" s="31">
        <f>STDEV(E3:E43)</f>
        <v>8.6691445010220157E-3</v>
      </c>
    </row>
    <row r="8" spans="1:8" ht="15.5">
      <c r="A8" s="202">
        <v>45726</v>
      </c>
      <c r="B8" s="190">
        <v>10002192</v>
      </c>
      <c r="C8" s="196">
        <f t="shared" si="0"/>
        <v>2.7397745194597854E-5</v>
      </c>
      <c r="D8" s="192">
        <v>6715.79</v>
      </c>
      <c r="E8" s="196">
        <f t="shared" si="1"/>
        <v>6.5521529034167953E-5</v>
      </c>
      <c r="G8" s="13" t="s">
        <v>12</v>
      </c>
      <c r="H8" s="203">
        <f>_xlfn.COVARIANCE.S(E3:E43,E3:E43)</f>
        <v>7.5154066379600268E-5</v>
      </c>
    </row>
    <row r="9" spans="1:8" ht="15.5">
      <c r="A9" s="202">
        <v>45818</v>
      </c>
      <c r="B9" s="190">
        <v>10003014.119999999</v>
      </c>
      <c r="C9" s="196">
        <f t="shared" si="0"/>
        <v>8.2193983078827169E-5</v>
      </c>
      <c r="D9" s="192">
        <v>6740.28</v>
      </c>
      <c r="E9" s="196">
        <f t="shared" si="1"/>
        <v>3.6466298082578194E-3</v>
      </c>
      <c r="G9" s="13" t="s">
        <v>13</v>
      </c>
      <c r="H9" s="203">
        <f>_xlfn.VAR.S(E3:E43)</f>
        <v>7.5154066379600254E-5</v>
      </c>
    </row>
    <row r="10" spans="1:8" ht="15.5">
      <c r="A10" s="202">
        <v>45848</v>
      </c>
      <c r="B10" s="190">
        <v>10003288.18</v>
      </c>
      <c r="C10" s="196">
        <f t="shared" si="0"/>
        <v>2.7397741991842912E-5</v>
      </c>
      <c r="D10" s="192">
        <v>6714.59</v>
      </c>
      <c r="E10" s="196">
        <f t="shared" si="1"/>
        <v>-3.8114143626080225E-3</v>
      </c>
      <c r="G10" s="87" t="s">
        <v>14</v>
      </c>
      <c r="H10" s="80">
        <f>H8/H9</f>
        <v>1.0000000000000002</v>
      </c>
    </row>
    <row r="11" spans="1:8" ht="16" thickBot="1">
      <c r="A11" s="202">
        <v>45879</v>
      </c>
      <c r="B11" s="190">
        <v>10003562.24</v>
      </c>
      <c r="C11" s="196">
        <f t="shared" si="0"/>
        <v>2.7396991376141834E-5</v>
      </c>
      <c r="D11" s="192">
        <v>6753.72</v>
      </c>
      <c r="E11" s="196">
        <f t="shared" si="1"/>
        <v>5.8276082381798601E-3</v>
      </c>
    </row>
    <row r="12" spans="1:8" ht="16" thickBot="1">
      <c r="A12" s="202">
        <v>45910</v>
      </c>
      <c r="B12" s="190">
        <v>10003836.310000001</v>
      </c>
      <c r="C12" s="196">
        <f t="shared" si="0"/>
        <v>2.739724044544936E-5</v>
      </c>
      <c r="D12" s="192">
        <v>6735.11</v>
      </c>
      <c r="E12" s="196">
        <f t="shared" si="1"/>
        <v>-2.755518440207853E-3</v>
      </c>
      <c r="G12" s="222" t="s">
        <v>38</v>
      </c>
      <c r="H12" s="224"/>
    </row>
    <row r="13" spans="1:8" ht="15.5">
      <c r="A13" s="202">
        <v>45940</v>
      </c>
      <c r="B13" s="190">
        <v>10004110.390000001</v>
      </c>
      <c r="C13" s="196">
        <f t="shared" si="0"/>
        <v>2.7397489473723155E-5</v>
      </c>
      <c r="D13" s="192">
        <v>6552.51</v>
      </c>
      <c r="E13" s="196">
        <f t="shared" si="1"/>
        <v>-2.7111658161485034E-2</v>
      </c>
      <c r="G13" s="8" t="s">
        <v>36</v>
      </c>
      <c r="H13" s="30">
        <f>C44</f>
        <v>-6.8299849999999829E-3</v>
      </c>
    </row>
    <row r="14" spans="1:8" ht="15.5">
      <c r="A14" s="201" t="s">
        <v>87</v>
      </c>
      <c r="B14" s="190">
        <v>10004932.67</v>
      </c>
      <c r="C14" s="196">
        <f t="shared" si="0"/>
        <v>8.2194214972005061E-5</v>
      </c>
      <c r="D14" s="192">
        <v>6654.72</v>
      </c>
      <c r="E14" s="196">
        <f t="shared" si="1"/>
        <v>1.5598602672868875E-2</v>
      </c>
      <c r="G14" s="95" t="s">
        <v>37</v>
      </c>
      <c r="H14" s="30">
        <f>C45</f>
        <v>-1.6562686554102193E-4</v>
      </c>
    </row>
    <row r="15" spans="1:8" ht="15.5">
      <c r="A15" s="201" t="s">
        <v>88</v>
      </c>
      <c r="B15" s="190">
        <v>10005206.779999999</v>
      </c>
      <c r="C15" s="196">
        <f t="shared" si="0"/>
        <v>2.7397485724349602E-5</v>
      </c>
      <c r="D15" s="192">
        <v>6644.31</v>
      </c>
      <c r="E15" s="196">
        <f t="shared" si="1"/>
        <v>-1.5643032313906301E-3</v>
      </c>
      <c r="G15" s="13" t="s">
        <v>11</v>
      </c>
      <c r="H15" s="31">
        <f>STDEV(C3:C43)</f>
        <v>1.7602967335610391E-3</v>
      </c>
    </row>
    <row r="16" spans="1:8" ht="15.5">
      <c r="A16" s="201" t="s">
        <v>89</v>
      </c>
      <c r="B16" s="190">
        <v>10005480.9</v>
      </c>
      <c r="C16" s="196">
        <f t="shared" si="0"/>
        <v>2.7397734602446976E-5</v>
      </c>
      <c r="D16" s="192">
        <v>6671.06</v>
      </c>
      <c r="E16" s="196">
        <f t="shared" si="1"/>
        <v>4.0260011950074576E-3</v>
      </c>
      <c r="G16" s="13" t="s">
        <v>12</v>
      </c>
      <c r="H16" s="203">
        <f>_xlfn.COVARIANCE.S(C3:C43,E3:E43)</f>
        <v>8.1011170084981724E-6</v>
      </c>
    </row>
    <row r="17" spans="1:8" ht="15.5">
      <c r="A17" s="201" t="s">
        <v>90</v>
      </c>
      <c r="B17" s="190">
        <v>10005755.02</v>
      </c>
      <c r="C17" s="196">
        <f t="shared" si="0"/>
        <v>2.7396983986964629E-5</v>
      </c>
      <c r="D17" s="192">
        <v>6629.07</v>
      </c>
      <c r="E17" s="196">
        <f t="shared" si="1"/>
        <v>-6.2943520220175939E-3</v>
      </c>
      <c r="G17" s="13" t="s">
        <v>13</v>
      </c>
      <c r="H17" s="203">
        <f>_xlfn.VAR.S(C3:C43)</f>
        <v>3.0986445901856642E-6</v>
      </c>
    </row>
    <row r="18" spans="1:8" ht="15.5">
      <c r="A18" s="201" t="s">
        <v>91</v>
      </c>
      <c r="B18" s="190">
        <v>10006029.15</v>
      </c>
      <c r="C18" s="196">
        <f t="shared" si="0"/>
        <v>2.7397232837789345E-5</v>
      </c>
      <c r="D18" s="192">
        <v>6664.01</v>
      </c>
      <c r="E18" s="196">
        <f t="shared" si="1"/>
        <v>5.2707242494045943E-3</v>
      </c>
      <c r="G18" s="87" t="s">
        <v>14</v>
      </c>
      <c r="H18" s="166">
        <f>H16/H9</f>
        <v>0.10779346213390166</v>
      </c>
    </row>
    <row r="19" spans="1:8" ht="15.5">
      <c r="A19" s="201" t="s">
        <v>92</v>
      </c>
      <c r="B19" s="190">
        <v>10006851.59</v>
      </c>
      <c r="C19" s="196">
        <f t="shared" si="0"/>
        <v>8.2194443736902209E-5</v>
      </c>
      <c r="D19" s="192">
        <v>6735.13</v>
      </c>
      <c r="E19" s="196">
        <f t="shared" si="1"/>
        <v>1.0672252892777755E-2</v>
      </c>
    </row>
    <row r="20" spans="1:8" ht="15.5">
      <c r="A20" s="201" t="s">
        <v>93</v>
      </c>
      <c r="B20" s="190">
        <v>10007125.75</v>
      </c>
      <c r="C20" s="196">
        <f t="shared" si="0"/>
        <v>2.7397228542304085E-5</v>
      </c>
      <c r="D20" s="192">
        <v>6735.35</v>
      </c>
      <c r="E20" s="196">
        <f t="shared" si="1"/>
        <v>3.2664551389543281E-5</v>
      </c>
    </row>
    <row r="21" spans="1:8" ht="15.5">
      <c r="A21" s="201" t="s">
        <v>94</v>
      </c>
      <c r="B21" s="190">
        <v>10007399.92</v>
      </c>
      <c r="C21" s="196">
        <f t="shared" si="0"/>
        <v>2.7397477242646371E-5</v>
      </c>
      <c r="D21" s="192">
        <v>6699.4</v>
      </c>
      <c r="E21" s="196">
        <f t="shared" si="1"/>
        <v>-5.3375103001329889E-3</v>
      </c>
    </row>
    <row r="22" spans="1:8" ht="15.5">
      <c r="A22" s="201" t="s">
        <v>95</v>
      </c>
      <c r="B22" s="190">
        <v>10007674.1</v>
      </c>
      <c r="C22" s="196">
        <f t="shared" si="0"/>
        <v>2.7397725901984537E-5</v>
      </c>
      <c r="D22" s="192">
        <v>6738.44</v>
      </c>
      <c r="E22" s="196">
        <f t="shared" si="1"/>
        <v>5.8273875272412401E-3</v>
      </c>
    </row>
    <row r="23" spans="1:8" ht="15.5">
      <c r="A23" s="201" t="s">
        <v>96</v>
      </c>
      <c r="B23" s="190">
        <v>10007948.279999999</v>
      </c>
      <c r="C23" s="196">
        <f t="shared" si="0"/>
        <v>2.7396975287165074E-5</v>
      </c>
      <c r="D23" s="192">
        <v>6791.69</v>
      </c>
      <c r="E23" s="196">
        <f t="shared" si="1"/>
        <v>7.9024225191587378E-3</v>
      </c>
    </row>
    <row r="24" spans="1:8" ht="15.5">
      <c r="A24" s="201" t="s">
        <v>97</v>
      </c>
      <c r="B24" s="190">
        <v>10008770.880000001</v>
      </c>
      <c r="C24" s="196">
        <f t="shared" si="0"/>
        <v>8.219466937547865E-5</v>
      </c>
      <c r="D24" s="192">
        <v>6875.16</v>
      </c>
      <c r="E24" s="196">
        <f t="shared" si="1"/>
        <v>1.2290019126314696E-2</v>
      </c>
    </row>
    <row r="25" spans="1:8" ht="15.5">
      <c r="A25" s="201" t="s">
        <v>98</v>
      </c>
      <c r="B25" s="190">
        <v>10009045.09</v>
      </c>
      <c r="C25" s="196">
        <f t="shared" si="0"/>
        <v>2.7396970445888698E-5</v>
      </c>
      <c r="D25" s="192">
        <v>6890.89</v>
      </c>
      <c r="E25" s="196">
        <f t="shared" si="1"/>
        <v>2.287946753239266E-3</v>
      </c>
    </row>
    <row r="26" spans="1:8" ht="15.5">
      <c r="A26" s="201" t="s">
        <v>99</v>
      </c>
      <c r="B26" s="190">
        <v>10009319.310000001</v>
      </c>
      <c r="C26" s="196">
        <f t="shared" si="0"/>
        <v>2.7397218968934685E-5</v>
      </c>
      <c r="D26" s="192">
        <v>6890.59</v>
      </c>
      <c r="E26" s="196">
        <f t="shared" si="1"/>
        <v>-4.3535740666326396E-5</v>
      </c>
    </row>
    <row r="27" spans="1:8" ht="15.5">
      <c r="A27" s="201" t="s">
        <v>100</v>
      </c>
      <c r="B27" s="190">
        <v>10009593.539999999</v>
      </c>
      <c r="C27" s="196">
        <f t="shared" si="0"/>
        <v>2.7397467450619715E-5</v>
      </c>
      <c r="D27" s="192">
        <v>6822.34</v>
      </c>
      <c r="E27" s="196">
        <f t="shared" si="1"/>
        <v>-9.9048122149191873E-3</v>
      </c>
    </row>
    <row r="28" spans="1:8" ht="15.5">
      <c r="A28" s="201" t="s">
        <v>101</v>
      </c>
      <c r="B28" s="190">
        <v>10009867.779999999</v>
      </c>
      <c r="C28" s="196">
        <f t="shared" si="0"/>
        <v>2.7397715891690796E-5</v>
      </c>
      <c r="D28" s="192">
        <v>6840.2</v>
      </c>
      <c r="E28" s="196">
        <f t="shared" si="1"/>
        <v>2.6178701149458502E-3</v>
      </c>
    </row>
    <row r="29" spans="1:8" ht="15.5">
      <c r="A29" s="202">
        <v>45727</v>
      </c>
      <c r="B29" s="190">
        <v>10010690.529999999</v>
      </c>
      <c r="C29" s="196">
        <f t="shared" si="0"/>
        <v>8.2193892874776818E-5</v>
      </c>
      <c r="D29" s="192">
        <v>6851.97</v>
      </c>
      <c r="E29" s="196">
        <f t="shared" si="1"/>
        <v>1.7207099207626148E-3</v>
      </c>
    </row>
    <row r="30" spans="1:8" ht="15.5">
      <c r="A30" s="202">
        <v>45758</v>
      </c>
      <c r="B30" s="190">
        <v>10002835.800000001</v>
      </c>
      <c r="C30" s="196">
        <f t="shared" si="0"/>
        <v>-7.8463418447104714E-4</v>
      </c>
      <c r="D30" s="192">
        <v>6771.55</v>
      </c>
      <c r="E30" s="196">
        <f t="shared" si="1"/>
        <v>-1.1736770592982759E-2</v>
      </c>
    </row>
    <row r="31" spans="1:8" ht="15.5">
      <c r="A31" s="202">
        <v>45788</v>
      </c>
      <c r="B31" s="190">
        <v>10015569.689999999</v>
      </c>
      <c r="C31" s="196">
        <f t="shared" si="0"/>
        <v>1.2730279947211303E-3</v>
      </c>
      <c r="D31" s="192">
        <v>6796.29</v>
      </c>
      <c r="E31" s="196">
        <f t="shared" si="1"/>
        <v>3.6535209811638077E-3</v>
      </c>
    </row>
    <row r="32" spans="1:8" ht="15.5">
      <c r="A32" s="202">
        <v>45819</v>
      </c>
      <c r="B32" s="190">
        <v>9969652.5800000001</v>
      </c>
      <c r="C32" s="196">
        <f t="shared" si="0"/>
        <v>-4.5845729620198374E-3</v>
      </c>
      <c r="D32" s="192">
        <v>6720.32</v>
      </c>
      <c r="E32" s="196">
        <f t="shared" si="1"/>
        <v>-1.1178157494750851E-2</v>
      </c>
    </row>
    <row r="33" spans="1:5" ht="15.5">
      <c r="A33" s="202">
        <v>45849</v>
      </c>
      <c r="B33" s="190">
        <v>9970086.4800000004</v>
      </c>
      <c r="C33" s="196">
        <f t="shared" si="0"/>
        <v>4.3522078278917569E-5</v>
      </c>
      <c r="D33" s="192">
        <v>6728.8</v>
      </c>
      <c r="E33" s="196">
        <f t="shared" si="1"/>
        <v>1.2618446740632102E-3</v>
      </c>
    </row>
    <row r="34" spans="1:5" ht="15.5">
      <c r="A34" s="202">
        <v>45941</v>
      </c>
      <c r="B34" s="190">
        <v>9981439.7799999993</v>
      </c>
      <c r="C34" s="196">
        <f t="shared" si="0"/>
        <v>1.138736361291711E-3</v>
      </c>
      <c r="D34" s="192">
        <v>6832.43</v>
      </c>
      <c r="E34" s="196">
        <f t="shared" si="1"/>
        <v>1.5400963024610645E-2</v>
      </c>
    </row>
    <row r="35" spans="1:5" ht="15.5">
      <c r="A35" s="202">
        <v>45972</v>
      </c>
      <c r="B35" s="190">
        <v>9985935.5099999998</v>
      </c>
      <c r="C35" s="196">
        <f t="shared" si="0"/>
        <v>4.5040896895542329E-4</v>
      </c>
      <c r="D35" s="192">
        <v>6846.61</v>
      </c>
      <c r="E35" s="196">
        <f t="shared" si="1"/>
        <v>2.0753963084875191E-3</v>
      </c>
    </row>
    <row r="36" spans="1:5" ht="15.5">
      <c r="A36" s="202">
        <v>46002</v>
      </c>
      <c r="B36" s="190">
        <v>9983314.25</v>
      </c>
      <c r="C36" s="196">
        <f t="shared" si="0"/>
        <v>-2.6249518609196152E-4</v>
      </c>
      <c r="D36" s="192">
        <v>6850.92</v>
      </c>
      <c r="E36" s="196">
        <f t="shared" si="1"/>
        <v>6.2950861813370414E-4</v>
      </c>
    </row>
    <row r="37" spans="1:5" ht="15.5">
      <c r="A37" s="201" t="s">
        <v>102</v>
      </c>
      <c r="B37" s="190">
        <v>9958615.9900000002</v>
      </c>
      <c r="C37" s="196">
        <f t="shared" si="0"/>
        <v>-2.473953977758416E-3</v>
      </c>
      <c r="D37" s="192">
        <v>6737.49</v>
      </c>
      <c r="E37" s="196">
        <f t="shared" si="1"/>
        <v>-1.6556900387101336E-2</v>
      </c>
    </row>
    <row r="38" spans="1:5" ht="15.5">
      <c r="A38" s="201" t="s">
        <v>103</v>
      </c>
      <c r="B38" s="190">
        <v>9962797.7400000002</v>
      </c>
      <c r="C38" s="196">
        <f t="shared" si="0"/>
        <v>4.1991276741658957E-4</v>
      </c>
      <c r="D38" s="192">
        <v>6734.11</v>
      </c>
      <c r="E38" s="196">
        <f t="shared" si="1"/>
        <v>-5.0167050340707141E-4</v>
      </c>
    </row>
    <row r="39" spans="1:5" ht="15.5">
      <c r="A39" s="201" t="s">
        <v>104</v>
      </c>
      <c r="B39" s="190">
        <v>9946234.0299999993</v>
      </c>
      <c r="C39" s="196">
        <f t="shared" si="0"/>
        <v>-1.6625560843716268E-3</v>
      </c>
      <c r="D39" s="192">
        <v>6672.41</v>
      </c>
      <c r="E39" s="196">
        <f t="shared" si="1"/>
        <v>-9.1623094959838534E-3</v>
      </c>
    </row>
    <row r="40" spans="1:5" ht="15.5">
      <c r="A40" s="201" t="s">
        <v>105</v>
      </c>
      <c r="B40" s="190">
        <v>9943734.9499999993</v>
      </c>
      <c r="C40" s="196">
        <f t="shared" si="0"/>
        <v>-2.5125891794445084E-4</v>
      </c>
      <c r="D40" s="192">
        <v>6617.32</v>
      </c>
      <c r="E40" s="196">
        <f t="shared" si="1"/>
        <v>-8.2563871224939928E-3</v>
      </c>
    </row>
    <row r="41" spans="1:5" ht="15.5">
      <c r="A41" s="201" t="s">
        <v>106</v>
      </c>
      <c r="B41" s="190">
        <v>9967834.2699999996</v>
      </c>
      <c r="C41" s="196">
        <f t="shared" si="0"/>
        <v>2.4235682187003886E-3</v>
      </c>
      <c r="D41" s="192">
        <v>6642.16</v>
      </c>
      <c r="E41" s="196">
        <f t="shared" si="1"/>
        <v>3.753785520422187E-3</v>
      </c>
    </row>
    <row r="42" spans="1:5" ht="15.5">
      <c r="A42" s="201" t="s">
        <v>107</v>
      </c>
      <c r="B42" s="190">
        <v>9887399.1799999997</v>
      </c>
      <c r="C42" s="196">
        <f t="shared" si="0"/>
        <v>-8.0694650233184353E-3</v>
      </c>
      <c r="D42" s="192">
        <v>6538.76</v>
      </c>
      <c r="E42" s="196">
        <f t="shared" si="1"/>
        <v>-1.5567225119539372E-2</v>
      </c>
    </row>
    <row r="43" spans="1:5" ht="16" thickBot="1">
      <c r="A43" s="201" t="s">
        <v>108</v>
      </c>
      <c r="B43" s="190">
        <v>9931700.1500000004</v>
      </c>
      <c r="C43" s="196">
        <f t="shared" si="0"/>
        <v>4.480548341732944E-3</v>
      </c>
      <c r="D43" s="192">
        <v>6602.99</v>
      </c>
      <c r="E43" s="196">
        <f>(D43-D42)/D42</f>
        <v>9.8229633753188009E-3</v>
      </c>
    </row>
    <row r="44" spans="1:5" ht="16" thickBot="1">
      <c r="A44" s="193" t="s">
        <v>36</v>
      </c>
      <c r="B44" s="194">
        <f>B43-B2</f>
        <v>-68299.849999999627</v>
      </c>
      <c r="C44" s="197">
        <f>B43/B2-1</f>
        <v>-6.8299849999999829E-3</v>
      </c>
      <c r="D44" s="199">
        <f>D43-D2</f>
        <v>-1.7300000000004729</v>
      </c>
      <c r="E44" s="200">
        <f>D43/D2-1</f>
        <v>-2.6193388970319198E-4</v>
      </c>
    </row>
    <row r="45" spans="1:5" ht="16" thickBot="1">
      <c r="A45" s="195" t="s">
        <v>37</v>
      </c>
      <c r="B45" s="91"/>
      <c r="C45" s="198">
        <f>AVERAGE(C3:C43)</f>
        <v>-1.6562686554102193E-4</v>
      </c>
      <c r="D45" s="169"/>
      <c r="E45" s="198">
        <f>AVERAGE(E3:E43)</f>
        <v>3.0447348901150106E-5</v>
      </c>
    </row>
  </sheetData>
  <mergeCells count="2">
    <mergeCell ref="G4:H4"/>
    <mergeCell ref="G12:H1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48FB5-F58E-4AA6-BF33-BAF1B6A1BC19}">
  <dimension ref="A1:I27"/>
  <sheetViews>
    <sheetView tabSelected="1" workbookViewId="0">
      <selection activeCell="C24" sqref="C24"/>
    </sheetView>
  </sheetViews>
  <sheetFormatPr defaultColWidth="8.81640625" defaultRowHeight="14.5"/>
  <cols>
    <col min="2" max="2" width="22.36328125" customWidth="1"/>
    <col min="3" max="3" width="18.1796875" customWidth="1"/>
    <col min="4" max="4" width="10" bestFit="1" customWidth="1"/>
    <col min="5" max="5" width="22.36328125" bestFit="1" customWidth="1"/>
    <col min="6" max="6" width="20.1796875" bestFit="1" customWidth="1"/>
  </cols>
  <sheetData>
    <row r="1" spans="1:6">
      <c r="A1" s="88"/>
    </row>
    <row r="2" spans="1:6">
      <c r="B2" s="238" t="s">
        <v>39</v>
      </c>
      <c r="C2" s="239"/>
      <c r="D2" s="240"/>
    </row>
    <row r="3" spans="1:6" ht="15.5">
      <c r="B3" s="32"/>
      <c r="C3" s="89" t="s">
        <v>14</v>
      </c>
      <c r="D3" s="90" t="s">
        <v>31</v>
      </c>
    </row>
    <row r="4" spans="1:6" ht="15.5">
      <c r="B4" s="54" t="s">
        <v>0</v>
      </c>
      <c r="C4" s="53">
        <f>'Individual stocks'!K6</f>
        <v>0.60758846324518212</v>
      </c>
      <c r="D4" s="52">
        <v>2.9600000000000001E-2</v>
      </c>
      <c r="E4" s="208"/>
      <c r="F4" s="208"/>
    </row>
    <row r="5" spans="1:6" ht="15.5">
      <c r="B5" s="55" t="s">
        <v>19</v>
      </c>
      <c r="C5" s="53">
        <f>'Individual stocks'!K24</f>
        <v>1.5519358834213981</v>
      </c>
      <c r="D5" s="52">
        <v>9.5200000000000007E-2</v>
      </c>
      <c r="E5" s="208"/>
      <c r="F5" s="208"/>
    </row>
    <row r="6" spans="1:6" ht="15.5">
      <c r="B6" s="55" t="s">
        <v>21</v>
      </c>
      <c r="C6" s="31">
        <f>'Individual stocks'!K35</f>
        <v>1.3966658673723686</v>
      </c>
      <c r="D6" s="52">
        <v>5.0999999999999997E-2</v>
      </c>
      <c r="E6" s="208"/>
      <c r="F6" s="208"/>
    </row>
    <row r="7" spans="1:6" ht="15.5">
      <c r="B7" s="55" t="s">
        <v>22</v>
      </c>
      <c r="C7" s="53">
        <f>'Individual stocks'!K53</f>
        <v>0.40427981138643859</v>
      </c>
      <c r="D7" s="52">
        <v>3.3999999999999998E-3</v>
      </c>
      <c r="E7" s="208"/>
      <c r="F7" s="208"/>
    </row>
    <row r="8" spans="1:6" ht="15.5">
      <c r="B8" s="55" t="s">
        <v>23</v>
      </c>
      <c r="C8" s="53">
        <f>'Individual stocks'!K68</f>
        <v>0.9624001972687104</v>
      </c>
      <c r="D8" s="52">
        <v>7.3700000000000002E-2</v>
      </c>
      <c r="E8" s="208"/>
      <c r="F8" s="208"/>
    </row>
    <row r="9" spans="1:6" ht="15.5">
      <c r="B9" s="55" t="s">
        <v>24</v>
      </c>
      <c r="C9" s="53">
        <f>'Individual stocks'!K79</f>
        <v>-0.51631813236067681</v>
      </c>
      <c r="D9" s="52">
        <v>1.8100000000000002E-2</v>
      </c>
      <c r="E9" s="208"/>
      <c r="F9" s="208"/>
    </row>
    <row r="10" spans="1:6" ht="15.5">
      <c r="B10" s="55" t="s">
        <v>25</v>
      </c>
      <c r="C10" s="139">
        <f>'Individual stocks'!K97</f>
        <v>0.29556491272945162</v>
      </c>
      <c r="D10" s="52">
        <v>0.12590000000000001</v>
      </c>
      <c r="E10" s="208"/>
      <c r="F10" s="208"/>
    </row>
    <row r="11" spans="1:6" ht="16" thickBot="1">
      <c r="B11" s="82" t="s">
        <v>26</v>
      </c>
      <c r="C11" s="204">
        <f>'Individual stocks'!K110</f>
        <v>0.98523635064902249</v>
      </c>
      <c r="D11" s="83">
        <v>0.60319999999999996</v>
      </c>
      <c r="E11" s="5"/>
      <c r="F11" s="208"/>
    </row>
    <row r="12" spans="1:6" ht="15" thickTop="1">
      <c r="B12" s="84" t="s">
        <v>40</v>
      </c>
      <c r="C12" s="31">
        <f>C4*D4+C5*D5+C6*D6+C7*D7+C8*D8+C9*D9+C10*D10+C11*D11</f>
        <v>0.93142315077558313</v>
      </c>
      <c r="D12" s="81">
        <v>0.55000000000000004</v>
      </c>
      <c r="E12" s="5"/>
      <c r="F12" s="207"/>
    </row>
    <row r="13" spans="1:6">
      <c r="B13" s="86" t="s">
        <v>41</v>
      </c>
      <c r="C13" s="85">
        <f>C12*D12</f>
        <v>0.51228273292657078</v>
      </c>
      <c r="D13" s="5"/>
      <c r="F13" s="207"/>
    </row>
    <row r="15" spans="1:6" ht="15" thickBot="1"/>
    <row r="16" spans="1:6" ht="16" thickBot="1">
      <c r="B16" s="235" t="s">
        <v>42</v>
      </c>
      <c r="C16" s="236"/>
      <c r="D16" s="237"/>
    </row>
    <row r="17" spans="2:9" ht="15.5">
      <c r="B17" s="61"/>
      <c r="C17" s="205" t="s">
        <v>38</v>
      </c>
      <c r="D17" s="205" t="s">
        <v>43</v>
      </c>
      <c r="I17" s="207"/>
    </row>
    <row r="18" spans="2:9" ht="15.5">
      <c r="B18" s="57" t="s">
        <v>15</v>
      </c>
      <c r="C18" s="220">
        <f>(Return!H14-(0.0002+Return!H18*(Return!H5-0.0002)))</f>
        <v>-3.1583341229293499E-4</v>
      </c>
      <c r="D18" s="221">
        <f>Return!H6-(0.0002+Return!H10*(Return!H5-0.0002))</f>
        <v>2.9238123860434221E-4</v>
      </c>
      <c r="I18" s="207"/>
    </row>
    <row r="19" spans="2:9" ht="15.5">
      <c r="B19" s="57" t="s">
        <v>44</v>
      </c>
      <c r="C19" s="58">
        <f>(Return!H13-0.0002)/Return!H15</f>
        <v>-3.9936363375386645</v>
      </c>
      <c r="D19" s="58">
        <f>(Return!H5-0.0002)/Return!H7</f>
        <v>-5.3284829852442074E-2</v>
      </c>
      <c r="E19" s="32"/>
    </row>
    <row r="20" spans="2:9" ht="15.5">
      <c r="B20" s="59" t="s">
        <v>45</v>
      </c>
      <c r="C20" s="60">
        <f>(Return!H13-0.0002)/Return!H18</f>
        <v>-6.5217174222192573E-2</v>
      </c>
      <c r="D20" s="219">
        <f>(Return!H5-0.0002)/Return!H10</f>
        <v>-4.6193388970319185E-4</v>
      </c>
      <c r="E20" s="32"/>
      <c r="G20" s="91"/>
      <c r="H20" s="92"/>
    </row>
    <row r="21" spans="2:9" ht="15.5">
      <c r="G21" s="91"/>
      <c r="H21" s="29"/>
    </row>
    <row r="22" spans="2:9" ht="15.5">
      <c r="B22" s="94"/>
      <c r="C22" s="94"/>
      <c r="D22" s="94"/>
      <c r="G22" s="93"/>
      <c r="H22" s="29"/>
    </row>
    <row r="23" spans="2:9" ht="15.5">
      <c r="B23" s="49"/>
      <c r="C23" s="94"/>
      <c r="D23" s="94"/>
    </row>
    <row r="24" spans="2:9" ht="15.5">
      <c r="B24" s="94"/>
    </row>
    <row r="25" spans="2:9" ht="15.5">
      <c r="B25" s="94"/>
      <c r="G25" s="91"/>
      <c r="H25" s="92"/>
    </row>
    <row r="26" spans="2:9" ht="15.5">
      <c r="B26" s="94"/>
      <c r="G26" s="91"/>
      <c r="H26" s="29"/>
    </row>
    <row r="27" spans="2:9" ht="15.5">
      <c r="C27" s="29"/>
      <c r="G27" s="93"/>
      <c r="H27" s="29"/>
    </row>
  </sheetData>
  <mergeCells count="2">
    <mergeCell ref="B16:D16"/>
    <mergeCell ref="B2:D2"/>
  </mergeCells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B2AF0-2F65-4512-9848-BD53122F6B2F}">
  <dimension ref="A1:R55"/>
  <sheetViews>
    <sheetView topLeftCell="E1" workbookViewId="0">
      <selection activeCell="I21" sqref="I21"/>
    </sheetView>
  </sheetViews>
  <sheetFormatPr defaultColWidth="8.81640625" defaultRowHeight="14.5"/>
  <cols>
    <col min="1" max="1" width="19.453125" bestFit="1" customWidth="1"/>
    <col min="2" max="2" width="57.1796875" bestFit="1" customWidth="1"/>
    <col min="3" max="3" width="13" bestFit="1" customWidth="1"/>
    <col min="4" max="4" width="22.1796875" customWidth="1"/>
    <col min="5" max="5" width="22.6328125" bestFit="1" customWidth="1"/>
    <col min="6" max="6" width="15" bestFit="1" customWidth="1"/>
    <col min="7" max="7" width="13.1796875" bestFit="1" customWidth="1"/>
    <col min="8" max="8" width="12" bestFit="1" customWidth="1"/>
    <col min="9" max="9" width="14.6328125" customWidth="1"/>
    <col min="10" max="10" width="23.453125" bestFit="1" customWidth="1"/>
    <col min="11" max="11" width="23.1796875" bestFit="1" customWidth="1"/>
    <col min="12" max="12" width="20.453125" bestFit="1" customWidth="1"/>
    <col min="17" max="17" width="20.36328125" bestFit="1" customWidth="1"/>
    <col min="19" max="19" width="22.36328125" bestFit="1" customWidth="1"/>
  </cols>
  <sheetData>
    <row r="1" spans="1:13" ht="15.5">
      <c r="A1" s="34" t="s">
        <v>46</v>
      </c>
      <c r="B1" s="35" t="s">
        <v>47</v>
      </c>
      <c r="C1" s="35" t="s">
        <v>48</v>
      </c>
      <c r="D1" s="35" t="s">
        <v>49</v>
      </c>
      <c r="E1" s="35" t="s">
        <v>50</v>
      </c>
      <c r="F1" s="35" t="s">
        <v>51</v>
      </c>
      <c r="G1" s="35" t="s">
        <v>52</v>
      </c>
      <c r="H1" s="35" t="s">
        <v>53</v>
      </c>
      <c r="I1" s="35" t="s">
        <v>54</v>
      </c>
      <c r="J1" s="35" t="s">
        <v>55</v>
      </c>
      <c r="K1" s="35" t="s">
        <v>56</v>
      </c>
      <c r="L1" s="35" t="s">
        <v>57</v>
      </c>
      <c r="M1" s="50" t="s">
        <v>31</v>
      </c>
    </row>
    <row r="2" spans="1:13" ht="15.5">
      <c r="A2" s="36" t="s">
        <v>58</v>
      </c>
      <c r="B2" s="19" t="s">
        <v>59</v>
      </c>
      <c r="C2" s="37">
        <v>500</v>
      </c>
      <c r="D2" s="38">
        <v>277.55</v>
      </c>
      <c r="E2" s="38">
        <v>270.42</v>
      </c>
      <c r="F2" s="39">
        <f>C2*E2</f>
        <v>135210</v>
      </c>
      <c r="G2" s="40">
        <v>0.57999999999999996</v>
      </c>
      <c r="H2" s="40">
        <v>3565</v>
      </c>
      <c r="I2" s="38">
        <v>138775</v>
      </c>
      <c r="J2" s="41">
        <v>2.64E-2</v>
      </c>
      <c r="K2" s="42">
        <f t="shared" ref="K2:K9" si="0">C2*E2/$B$13</f>
        <v>1.3521E-2</v>
      </c>
      <c r="L2" s="42">
        <f t="shared" ref="L2:L9" si="1">I2/$B$12</f>
        <v>1.3972934936018986E-2</v>
      </c>
      <c r="M2" s="52">
        <v>2.9600000000000001E-2</v>
      </c>
    </row>
    <row r="3" spans="1:13" ht="15.5">
      <c r="A3" s="36" t="s">
        <v>60</v>
      </c>
      <c r="B3" s="19" t="s">
        <v>61</v>
      </c>
      <c r="C3" s="43">
        <v>1995</v>
      </c>
      <c r="D3" s="38">
        <v>229.16</v>
      </c>
      <c r="E3" s="38">
        <v>221.88</v>
      </c>
      <c r="F3" s="39">
        <f>C3*E3</f>
        <v>442650.6</v>
      </c>
      <c r="G3" s="46">
        <v>-0.51</v>
      </c>
      <c r="H3" s="45">
        <v>14523.2</v>
      </c>
      <c r="I3" s="38">
        <v>457174.2</v>
      </c>
      <c r="J3" s="41">
        <v>3.2800000000000003E-2</v>
      </c>
      <c r="K3" s="42">
        <f t="shared" si="0"/>
        <v>4.4265059999999995E-2</v>
      </c>
      <c r="L3" s="42">
        <f t="shared" si="1"/>
        <v>4.6031816617016975E-2</v>
      </c>
      <c r="M3" s="52">
        <v>9.5200000000000007E-2</v>
      </c>
    </row>
    <row r="4" spans="1:13" ht="15.5">
      <c r="A4" s="36" t="s">
        <v>62</v>
      </c>
      <c r="B4" s="19" t="s">
        <v>63</v>
      </c>
      <c r="C4" s="43">
        <v>1000</v>
      </c>
      <c r="D4" s="38">
        <v>247.3</v>
      </c>
      <c r="E4" s="38">
        <v>240.5</v>
      </c>
      <c r="F4" s="39">
        <f t="shared" ref="F4:F9" si="2">C4*E4</f>
        <v>240500</v>
      </c>
      <c r="G4" s="47">
        <v>2.17</v>
      </c>
      <c r="H4" s="45">
        <v>6797.14</v>
      </c>
      <c r="I4" s="38">
        <v>247300</v>
      </c>
      <c r="J4" s="41">
        <v>2.8299999999999999E-2</v>
      </c>
      <c r="K4" s="42">
        <f t="shared" si="0"/>
        <v>2.4049999999999998E-2</v>
      </c>
      <c r="L4" s="42">
        <f t="shared" si="1"/>
        <v>2.4900067084687408E-2</v>
      </c>
      <c r="M4" s="52">
        <v>5.0999999999999997E-2</v>
      </c>
    </row>
    <row r="5" spans="1:13" ht="15.5">
      <c r="A5" s="36" t="s">
        <v>64</v>
      </c>
      <c r="B5" s="19" t="s">
        <v>65</v>
      </c>
      <c r="C5" s="37">
        <v>200</v>
      </c>
      <c r="D5" s="38">
        <v>72.88</v>
      </c>
      <c r="E5" s="38">
        <v>70.02</v>
      </c>
      <c r="F5" s="39">
        <f t="shared" si="2"/>
        <v>14004</v>
      </c>
      <c r="G5" s="47">
        <v>0.27</v>
      </c>
      <c r="H5" s="45">
        <v>572</v>
      </c>
      <c r="I5" s="38">
        <v>14576</v>
      </c>
      <c r="J5" s="41">
        <v>4.0800000000000003E-2</v>
      </c>
      <c r="K5" s="42">
        <f t="shared" si="0"/>
        <v>1.4004E-3</v>
      </c>
      <c r="L5" s="42">
        <f t="shared" si="1"/>
        <v>1.4676238488734478E-3</v>
      </c>
      <c r="M5" s="52">
        <v>3.3999999999999998E-3</v>
      </c>
    </row>
    <row r="6" spans="1:13" ht="15.5">
      <c r="A6" s="36" t="s">
        <v>66</v>
      </c>
      <c r="B6" s="19" t="s">
        <v>67</v>
      </c>
      <c r="C6" s="37">
        <v>347</v>
      </c>
      <c r="D6" s="38">
        <v>1104.3399999999999</v>
      </c>
      <c r="E6" s="38">
        <v>1032.43</v>
      </c>
      <c r="F6" s="39">
        <f t="shared" si="2"/>
        <v>358253.21</v>
      </c>
      <c r="G6" s="46">
        <v>-5.6</v>
      </c>
      <c r="H6" s="45">
        <v>24952.77</v>
      </c>
      <c r="I6" s="38">
        <v>383205.98</v>
      </c>
      <c r="J6" s="41">
        <v>6.9699999999999998E-2</v>
      </c>
      <c r="K6" s="42">
        <f t="shared" si="0"/>
        <v>3.5825321E-2</v>
      </c>
      <c r="L6" s="42">
        <f t="shared" si="1"/>
        <v>3.8584127008707565E-2</v>
      </c>
      <c r="M6" s="52">
        <v>7.3700000000000002E-2</v>
      </c>
    </row>
    <row r="7" spans="1:13" ht="15.5">
      <c r="A7" s="36" t="s">
        <v>68</v>
      </c>
      <c r="B7" s="19" t="s">
        <v>69</v>
      </c>
      <c r="C7" s="37">
        <v>200</v>
      </c>
      <c r="D7" s="38">
        <v>454.16</v>
      </c>
      <c r="E7" s="38">
        <v>483.5</v>
      </c>
      <c r="F7" s="39">
        <f t="shared" si="2"/>
        <v>96700</v>
      </c>
      <c r="G7" s="45">
        <v>1.75</v>
      </c>
      <c r="H7" s="46">
        <v>-5868</v>
      </c>
      <c r="I7" s="38">
        <v>90832</v>
      </c>
      <c r="J7" s="44">
        <v>-6.0699999999999997E-2</v>
      </c>
      <c r="K7" s="42">
        <f t="shared" si="0"/>
        <v>9.6699999999999998E-3</v>
      </c>
      <c r="L7" s="42">
        <f t="shared" si="1"/>
        <v>9.1456647530785556E-3</v>
      </c>
      <c r="M7" s="52">
        <v>1.8100000000000002E-2</v>
      </c>
    </row>
    <row r="8" spans="1:13" ht="15.5">
      <c r="A8" s="36" t="s">
        <v>70</v>
      </c>
      <c r="B8" s="19" t="s">
        <v>71</v>
      </c>
      <c r="C8" s="43">
        <v>1275</v>
      </c>
      <c r="D8" s="38">
        <v>485.5</v>
      </c>
      <c r="E8" s="38">
        <v>483.68</v>
      </c>
      <c r="F8" s="39">
        <f t="shared" si="2"/>
        <v>616692</v>
      </c>
      <c r="G8" s="45">
        <v>8.51</v>
      </c>
      <c r="H8" s="47">
        <v>2315.5</v>
      </c>
      <c r="I8" s="38">
        <v>619012.5</v>
      </c>
      <c r="J8" s="41">
        <v>3.8E-3</v>
      </c>
      <c r="K8" s="42">
        <f t="shared" si="0"/>
        <v>6.16692E-2</v>
      </c>
      <c r="L8" s="42">
        <f t="shared" si="1"/>
        <v>6.2326942079498841E-2</v>
      </c>
      <c r="M8" s="52">
        <v>0.12590000000000001</v>
      </c>
    </row>
    <row r="9" spans="1:13" ht="15.5">
      <c r="A9" s="122" t="s">
        <v>72</v>
      </c>
      <c r="B9" s="123" t="s">
        <v>73</v>
      </c>
      <c r="C9" s="124">
        <v>4700</v>
      </c>
      <c r="D9" s="125">
        <v>624.95000000000005</v>
      </c>
      <c r="E9" s="125">
        <v>607.24</v>
      </c>
      <c r="F9" s="126">
        <f t="shared" si="2"/>
        <v>2854028</v>
      </c>
      <c r="G9" s="127">
        <v>4.29</v>
      </c>
      <c r="H9" s="128">
        <v>83251</v>
      </c>
      <c r="I9" s="125">
        <v>2937265</v>
      </c>
      <c r="J9" s="129">
        <v>2.92E-2</v>
      </c>
      <c r="K9" s="130">
        <f t="shared" si="0"/>
        <v>0.28540280000000001</v>
      </c>
      <c r="L9" s="142">
        <f t="shared" si="1"/>
        <v>0.29574644377478509</v>
      </c>
      <c r="M9" s="206">
        <v>0.60319999999999996</v>
      </c>
    </row>
    <row r="10" spans="1:13">
      <c r="A10" s="74" t="s">
        <v>109</v>
      </c>
      <c r="F10" s="143">
        <f>SUM(F2:F9)</f>
        <v>4758037.8100000005</v>
      </c>
      <c r="I10" s="143">
        <f>SUM(I2:I9)</f>
        <v>4888140.68</v>
      </c>
    </row>
    <row r="11" spans="1:13">
      <c r="M11" s="5"/>
    </row>
    <row r="12" spans="1:13" ht="15.5">
      <c r="A12" s="78" t="s">
        <v>74</v>
      </c>
      <c r="B12" s="140">
        <v>9931700.1500000004</v>
      </c>
    </row>
    <row r="13" spans="1:13" ht="15.5">
      <c r="A13" s="79" t="s">
        <v>75</v>
      </c>
      <c r="B13" s="75">
        <v>10000000</v>
      </c>
    </row>
    <row r="14" spans="1:13">
      <c r="A14" s="74" t="s">
        <v>76</v>
      </c>
      <c r="B14" s="144">
        <f>(B12-B13)/B13</f>
        <v>-6.8299849999999629E-3</v>
      </c>
    </row>
    <row r="17" spans="1:11">
      <c r="A17" s="72" t="s">
        <v>77</v>
      </c>
      <c r="B17" s="70">
        <f>SUM(I2:I9)</f>
        <v>4888140.68</v>
      </c>
      <c r="K17" s="5"/>
    </row>
    <row r="18" spans="1:11">
      <c r="A18" s="73" t="s">
        <v>78</v>
      </c>
      <c r="B18" s="71">
        <f>SUM(F2:F9)</f>
        <v>4758037.8100000005</v>
      </c>
      <c r="K18" s="5"/>
    </row>
    <row r="19" spans="1:11">
      <c r="A19" s="76" t="s">
        <v>79</v>
      </c>
      <c r="B19" s="77">
        <f>B17-B18</f>
        <v>130102.86999999918</v>
      </c>
      <c r="K19" s="5"/>
    </row>
    <row r="20" spans="1:11">
      <c r="A20" s="145" t="s">
        <v>76</v>
      </c>
      <c r="B20" s="146">
        <f>(B17-B18)/B18</f>
        <v>2.7343807509591683E-2</v>
      </c>
      <c r="K20" s="5"/>
    </row>
    <row r="21" spans="1:11">
      <c r="K21" s="5"/>
    </row>
    <row r="22" spans="1:11">
      <c r="K22" s="5"/>
    </row>
    <row r="25" spans="1:11" ht="15.5">
      <c r="A25" s="96"/>
      <c r="B25" s="62"/>
      <c r="C25" s="62"/>
      <c r="D25" s="209"/>
      <c r="E25" s="96"/>
    </row>
    <row r="26" spans="1:11" ht="15.5">
      <c r="A26" s="63"/>
      <c r="B26" s="63"/>
      <c r="C26" s="141"/>
      <c r="D26" s="132"/>
    </row>
    <row r="27" spans="1:11" ht="15.5">
      <c r="A27" s="63"/>
      <c r="B27" s="64"/>
      <c r="C27" s="141"/>
      <c r="D27" s="132"/>
    </row>
    <row r="28" spans="1:11" ht="15.5">
      <c r="A28" s="63"/>
      <c r="B28" s="64"/>
      <c r="C28" s="141"/>
      <c r="D28" s="132"/>
    </row>
    <row r="29" spans="1:11" ht="15.5">
      <c r="A29" s="63"/>
      <c r="B29" s="63"/>
      <c r="C29" s="141"/>
      <c r="D29" s="132"/>
    </row>
    <row r="30" spans="1:11" ht="15.5">
      <c r="A30" s="63"/>
      <c r="B30" s="63"/>
      <c r="C30" s="141"/>
      <c r="D30" s="132"/>
    </row>
    <row r="31" spans="1:11" ht="15.5">
      <c r="A31" s="63"/>
      <c r="B31" s="132"/>
      <c r="C31" s="141"/>
      <c r="D31" s="132"/>
    </row>
    <row r="32" spans="1:11" ht="15.5">
      <c r="A32" s="210"/>
      <c r="B32" s="132"/>
      <c r="C32" s="141"/>
      <c r="D32" s="132"/>
    </row>
    <row r="33" spans="1:18" ht="15.5">
      <c r="A33" s="63"/>
      <c r="B33" s="132"/>
      <c r="C33" s="211"/>
      <c r="D33" s="132"/>
    </row>
    <row r="34" spans="1:18" ht="15.5">
      <c r="A34" s="63"/>
      <c r="B34" s="132"/>
      <c r="C34" s="141"/>
      <c r="D34" s="132"/>
      <c r="N34" s="62"/>
      <c r="O34" s="62"/>
      <c r="P34" s="62"/>
      <c r="Q34" s="97"/>
      <c r="R34" s="97"/>
    </row>
    <row r="35" spans="1:18" ht="15.5">
      <c r="A35" s="63"/>
      <c r="B35" s="132"/>
      <c r="C35" s="212"/>
      <c r="N35" s="63"/>
      <c r="O35" s="63"/>
      <c r="P35" s="141"/>
      <c r="Q35" s="132"/>
    </row>
    <row r="36" spans="1:18" ht="15.5">
      <c r="A36" s="63"/>
      <c r="B36" s="132"/>
      <c r="O36" s="63"/>
      <c r="P36" s="64"/>
      <c r="Q36" s="141"/>
      <c r="R36" s="132"/>
    </row>
    <row r="37" spans="1:18" ht="15.5">
      <c r="A37" s="63"/>
      <c r="B37" s="132"/>
      <c r="E37" s="5"/>
      <c r="O37" s="63"/>
      <c r="P37" s="64"/>
      <c r="Q37" s="141"/>
      <c r="R37" s="132"/>
    </row>
    <row r="38" spans="1:18" ht="15.5">
      <c r="A38" s="210"/>
      <c r="B38" s="132"/>
      <c r="E38" s="5"/>
      <c r="O38" s="63"/>
      <c r="P38" s="63"/>
      <c r="Q38" s="141"/>
      <c r="R38" s="132"/>
    </row>
    <row r="39" spans="1:18" ht="15.5">
      <c r="A39" s="210"/>
      <c r="B39" s="132"/>
      <c r="C39" s="65"/>
      <c r="D39" s="65"/>
      <c r="E39" s="65"/>
      <c r="F39" s="65"/>
      <c r="G39" s="65"/>
      <c r="H39" s="65"/>
      <c r="I39" s="65"/>
      <c r="J39" s="65"/>
      <c r="K39" s="65"/>
      <c r="L39" s="65"/>
      <c r="M39" s="66"/>
      <c r="O39" s="63"/>
      <c r="P39" s="63"/>
      <c r="Q39" s="141"/>
      <c r="R39" s="132"/>
    </row>
    <row r="40" spans="1:18" ht="15.5">
      <c r="A40" s="63"/>
      <c r="B40" s="63"/>
      <c r="C40" s="213"/>
      <c r="D40" s="67"/>
      <c r="E40" s="67"/>
      <c r="F40" s="67"/>
      <c r="G40" s="67"/>
      <c r="H40" s="67"/>
      <c r="I40" s="67"/>
      <c r="J40" s="68"/>
      <c r="K40" s="68"/>
      <c r="L40" s="68"/>
      <c r="M40" s="66"/>
      <c r="O40" s="63"/>
      <c r="P40" s="63"/>
      <c r="Q40" s="141"/>
      <c r="R40" s="132"/>
    </row>
    <row r="41" spans="1:18" ht="15.5">
      <c r="A41" s="63"/>
      <c r="B41" s="64"/>
      <c r="C41" s="214"/>
      <c r="D41" s="67"/>
      <c r="E41" s="67"/>
      <c r="F41" s="67"/>
      <c r="G41" s="69"/>
      <c r="H41" s="67"/>
      <c r="I41" s="67"/>
      <c r="J41" s="68"/>
      <c r="K41" s="68"/>
      <c r="L41" s="68"/>
      <c r="M41" s="66"/>
      <c r="O41" s="63"/>
      <c r="P41" s="63"/>
      <c r="Q41" s="141"/>
      <c r="R41" s="132"/>
    </row>
    <row r="42" spans="1:18" ht="15.5">
      <c r="A42" s="63"/>
      <c r="B42" s="64"/>
      <c r="C42" s="214"/>
      <c r="D42" s="67"/>
      <c r="E42" s="67"/>
      <c r="F42" s="67"/>
      <c r="G42" s="69"/>
      <c r="H42" s="67"/>
      <c r="I42" s="67"/>
      <c r="J42" s="68"/>
      <c r="K42" s="68"/>
      <c r="L42" s="68"/>
      <c r="M42" s="66"/>
      <c r="O42" s="63"/>
      <c r="P42" s="64"/>
      <c r="Q42" s="141"/>
      <c r="R42" s="132"/>
    </row>
    <row r="43" spans="1:18" ht="15.5">
      <c r="A43" s="63"/>
      <c r="B43" s="63"/>
      <c r="C43" s="213"/>
      <c r="D43" s="67"/>
      <c r="E43" s="67"/>
      <c r="F43" s="67"/>
      <c r="G43" s="69"/>
      <c r="H43" s="67"/>
      <c r="I43" s="67"/>
      <c r="J43" s="68"/>
      <c r="K43" s="68"/>
      <c r="L43" s="68"/>
      <c r="M43" s="66"/>
      <c r="O43" s="63"/>
      <c r="P43" s="64"/>
      <c r="Q43" s="141"/>
      <c r="R43" s="132"/>
    </row>
    <row r="44" spans="1:18" ht="15.5">
      <c r="A44" s="63"/>
      <c r="B44" s="63"/>
      <c r="C44" s="213"/>
      <c r="D44" s="67"/>
      <c r="E44" s="67"/>
      <c r="F44" s="67"/>
      <c r="G44" s="69"/>
      <c r="H44" s="67"/>
      <c r="I44" s="67"/>
      <c r="J44" s="68"/>
      <c r="K44" s="68"/>
      <c r="L44" s="68"/>
      <c r="M44" s="66"/>
      <c r="O44" s="63"/>
      <c r="P44" s="64"/>
      <c r="Q44" s="141"/>
      <c r="R44" s="132"/>
    </row>
    <row r="45" spans="1:18" ht="15.5">
      <c r="A45" s="62"/>
      <c r="B45" s="62"/>
      <c r="C45" s="62"/>
      <c r="D45" s="215"/>
      <c r="E45" s="216"/>
      <c r="F45" s="67"/>
      <c r="G45" s="69"/>
      <c r="H45" s="67"/>
      <c r="I45" s="67"/>
      <c r="J45" s="68"/>
      <c r="K45" s="68"/>
      <c r="L45" s="68"/>
      <c r="M45" s="66"/>
      <c r="O45" s="63"/>
      <c r="P45" s="64"/>
      <c r="Q45" s="141"/>
      <c r="R45" s="132"/>
    </row>
    <row r="46" spans="1:18" ht="15.5">
      <c r="A46" s="63"/>
      <c r="B46" s="217"/>
      <c r="C46" s="141"/>
      <c r="D46" s="132"/>
      <c r="E46" s="218"/>
      <c r="F46" s="67"/>
      <c r="G46" s="67"/>
      <c r="H46" s="69"/>
      <c r="I46" s="67"/>
      <c r="J46" s="68"/>
      <c r="K46" s="68"/>
      <c r="L46" s="68"/>
      <c r="M46" s="66"/>
      <c r="O46" s="63"/>
      <c r="P46" s="64"/>
      <c r="Q46" s="141"/>
      <c r="R46" s="132"/>
    </row>
    <row r="47" spans="1:18" ht="15.5">
      <c r="A47" s="63"/>
      <c r="B47" s="217"/>
      <c r="C47" s="141"/>
      <c r="D47" s="132"/>
      <c r="E47" s="218"/>
      <c r="F47" s="67"/>
      <c r="G47" s="67"/>
      <c r="H47" s="69"/>
      <c r="I47" s="67"/>
      <c r="J47" s="68"/>
      <c r="K47" s="68"/>
      <c r="L47" s="68"/>
      <c r="M47" s="66"/>
    </row>
    <row r="48" spans="1:18" ht="15.5">
      <c r="A48" s="63"/>
      <c r="B48" s="217"/>
      <c r="C48" s="141"/>
      <c r="D48" s="132"/>
      <c r="E48" s="218"/>
      <c r="F48" s="67"/>
      <c r="G48" s="67"/>
      <c r="H48" s="69"/>
      <c r="I48" s="67"/>
      <c r="J48" s="68"/>
      <c r="K48" s="68"/>
      <c r="L48" s="68"/>
      <c r="M48" s="66"/>
    </row>
    <row r="49" spans="1:13" ht="15.5">
      <c r="A49" s="63"/>
      <c r="B49" s="217"/>
      <c r="C49" s="141"/>
      <c r="D49" s="132"/>
      <c r="E49" s="218"/>
      <c r="F49" s="67"/>
      <c r="G49" s="67"/>
      <c r="H49" s="69"/>
      <c r="I49" s="67"/>
      <c r="J49" s="68"/>
      <c r="K49" s="68"/>
      <c r="L49" s="68"/>
      <c r="M49" s="66"/>
    </row>
    <row r="50" spans="1:13" ht="15.5">
      <c r="A50" s="63"/>
      <c r="B50" s="217"/>
      <c r="C50" s="141"/>
      <c r="D50" s="132"/>
      <c r="E50" s="218"/>
      <c r="F50" s="67"/>
      <c r="G50" s="67"/>
      <c r="H50" s="69"/>
      <c r="I50" s="67"/>
      <c r="J50" s="68"/>
      <c r="K50" s="68"/>
      <c r="L50" s="68"/>
      <c r="M50" s="66"/>
    </row>
    <row r="51" spans="1:13" ht="15.5">
      <c r="A51" s="63"/>
      <c r="B51" s="217"/>
      <c r="C51" s="141"/>
      <c r="D51" s="132"/>
      <c r="E51" s="218"/>
      <c r="F51" s="67"/>
      <c r="G51" s="67"/>
      <c r="H51" s="69"/>
      <c r="I51" s="67"/>
      <c r="J51" s="68"/>
      <c r="K51" s="68"/>
      <c r="L51" s="68"/>
      <c r="M51" s="66"/>
    </row>
    <row r="52" spans="1:13" ht="15.5">
      <c r="A52" s="63"/>
      <c r="B52" s="217"/>
      <c r="C52" s="141"/>
      <c r="D52" s="132"/>
      <c r="F52" s="66"/>
      <c r="G52" s="66"/>
      <c r="H52" s="66"/>
      <c r="I52" s="66"/>
      <c r="J52" s="66"/>
      <c r="K52" s="66"/>
      <c r="L52" s="66"/>
      <c r="M52" s="66"/>
    </row>
    <row r="53" spans="1:13" ht="15.5">
      <c r="A53" s="210"/>
      <c r="B53" s="91"/>
      <c r="C53" s="211"/>
      <c r="D53" s="132"/>
      <c r="F53" s="66"/>
      <c r="G53" s="66"/>
      <c r="H53" s="66"/>
      <c r="I53" s="66"/>
      <c r="J53" s="66"/>
      <c r="K53" s="66"/>
      <c r="L53" s="66"/>
      <c r="M53" s="66"/>
    </row>
    <row r="54" spans="1:13" ht="15.5">
      <c r="A54" s="63"/>
      <c r="B54" s="217"/>
      <c r="C54" s="141"/>
      <c r="D54" s="132"/>
      <c r="E54" s="218"/>
    </row>
    <row r="55" spans="1:13">
      <c r="A55" s="97"/>
      <c r="C55" s="212"/>
    </row>
  </sheetData>
  <pageMargins left="0.7" right="0.7" top="0.75" bottom="0.75" header="0.3" footer="0.3"/>
  <pageSetup paperSize="9"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A0F480AFE969A4FB28E154E9E0AA4BA" ma:contentTypeVersion="5" ma:contentTypeDescription="Create a new document." ma:contentTypeScope="" ma:versionID="f6964bbc36f16820797c4b92267cd969">
  <xsd:schema xmlns:xsd="http://www.w3.org/2001/XMLSchema" xmlns:xs="http://www.w3.org/2001/XMLSchema" xmlns:p="http://schemas.microsoft.com/office/2006/metadata/properties" xmlns:ns3="f8bf049e-c506-4471-8901-0922a6743b1b" targetNamespace="http://schemas.microsoft.com/office/2006/metadata/properties" ma:root="true" ma:fieldsID="0f2fd3191b98c8cfddd45c192780a772" ns3:_="">
    <xsd:import namespace="f8bf049e-c506-4471-8901-0922a6743b1b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bf049e-c506-4471-8901-0922a6743b1b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8bf049e-c506-4471-8901-0922a6743b1b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0418279-0F23-45E6-AB52-EFFFB7E27E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bf049e-c506-4471-8901-0922a6743b1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8AC8CD7-B57F-4A61-A073-67E855292485}">
  <ds:schemaRefs>
    <ds:schemaRef ds:uri="http://schemas.microsoft.com/office/2006/metadata/properties"/>
    <ds:schemaRef ds:uri="http://schemas.microsoft.com/office/infopath/2007/PartnerControls"/>
    <ds:schemaRef ds:uri="f8bf049e-c506-4471-8901-0922a6743b1b"/>
  </ds:schemaRefs>
</ds:datastoreItem>
</file>

<file path=customXml/itemProps3.xml><?xml version="1.0" encoding="utf-8"?>
<ds:datastoreItem xmlns:ds="http://schemas.openxmlformats.org/officeDocument/2006/customXml" ds:itemID="{2C1808FA-7A6D-4FDB-8D82-5ECF423E5C3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Individual stocks</vt:lpstr>
      <vt:lpstr>Risk and Performance</vt:lpstr>
      <vt:lpstr>Return</vt:lpstr>
      <vt:lpstr>Beta</vt:lpstr>
      <vt:lpstr>Prices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Anagha Athreyas</dc:creator>
  <cp:keywords/>
  <dc:description/>
  <cp:lastModifiedBy>Anagha Athreyas</cp:lastModifiedBy>
  <cp:revision/>
  <dcterms:created xsi:type="dcterms:W3CDTF">2025-11-28T02:03:01Z</dcterms:created>
  <dcterms:modified xsi:type="dcterms:W3CDTF">2025-12-03T18:47:28Z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0x010100EA0F480AFE969A4FB28E154E9E0AA4BA</vt:lpwstr>
  </property>
</Properties>
</file>